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filterPrivacy="1" codeName="ThisWorkbook" defaultThemeVersion="124226"/>
  <xr:revisionPtr revIDLastSave="0" documentId="13_ncr:1_{FF9B0498-9C64-4370-9A36-133FB6013BB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ike Trick Example" sheetId="6" r:id="rId1"/>
    <sheet name="Mike Trick Example (2)" sheetId="7" r:id="rId2"/>
    <sheet name="Main CRS" sheetId="4" r:id="rId3"/>
    <sheet name="Main VRS" sheetId="5" r:id="rId4"/>
    <sheet name="Test" sheetId="3" r:id="rId5"/>
  </sheets>
  <definedNames>
    <definedName name="OpenSolver_ChosenSolver" localSheetId="2" hidden="1">CBC</definedName>
    <definedName name="OpenSolver_ChosenSolver" localSheetId="3" hidden="1">CBC</definedName>
    <definedName name="OpenSolver_ChosenSolver" localSheetId="0" hidden="1">CBC</definedName>
    <definedName name="OpenSolver_ChosenSolver" localSheetId="1" hidden="1">CBC</definedName>
    <definedName name="OpenSolver_DualsNewSheet" localSheetId="2" hidden="1">FALSE</definedName>
    <definedName name="OpenSolver_DualsNewSheet" localSheetId="3" hidden="1">FALSE</definedName>
    <definedName name="OpenSolver_DualsNewSheet" localSheetId="0" hidden="1">FALSE</definedName>
    <definedName name="OpenSolver_DualsNewSheet" localSheetId="1" hidden="1">FALSE</definedName>
    <definedName name="OpenSolver_LinearityCheck" localSheetId="2" hidden="1">1</definedName>
    <definedName name="OpenSolver_LinearityCheck" localSheetId="3" hidden="1">1</definedName>
    <definedName name="OpenSolver_LinearityCheck" localSheetId="0" hidden="1">1</definedName>
    <definedName name="OpenSolver_LinearityCheck" localSheetId="1" hidden="1">1</definedName>
    <definedName name="OpenSolver_UpdateSensitivity" localSheetId="0" hidden="1">1</definedName>
    <definedName name="OpenSolver_UpdateSensitivity" localSheetId="1" hidden="1">1</definedName>
    <definedName name="solver_adj" localSheetId="2" hidden="1">'Main CRS'!$L$9:$T$16</definedName>
    <definedName name="solver_adj" localSheetId="3" hidden="1">'Main VRS'!$L$9:$T$16</definedName>
    <definedName name="solver_adj" localSheetId="0" hidden="1">'Mike Trick Example'!$J$9:$J$11,'Mike Trick Example'!$H$4</definedName>
    <definedName name="solver_adj" localSheetId="1" hidden="1">'Mike Trick Example (2)'!$J$9:$J$11,'Mike Trick Example (2)'!$H$4</definedName>
    <definedName name="solver_cvg" localSheetId="2" hidden="1">0.0001</definedName>
    <definedName name="solver_cvg" localSheetId="3" hidden="1">0.0001</definedName>
    <definedName name="solver_cvg" localSheetId="0" hidden="1">0.0001</definedName>
    <definedName name="solver_cvg" localSheetId="1" hidden="1">0.0001</definedName>
    <definedName name="solver_drv" localSheetId="2" hidden="1">1</definedName>
    <definedName name="solver_drv" localSheetId="3" hidden="1">1</definedName>
    <definedName name="solver_drv" localSheetId="0" hidden="1">1</definedName>
    <definedName name="solver_drv" localSheetId="1" hidden="1">1</definedName>
    <definedName name="solver_est" localSheetId="2" hidden="1">1</definedName>
    <definedName name="solver_est" localSheetId="3" hidden="1">1</definedName>
    <definedName name="solver_est" localSheetId="0" hidden="1">1</definedName>
    <definedName name="solver_est" localSheetId="1" hidden="1">1</definedName>
    <definedName name="solver_itr" localSheetId="2" hidden="1">100</definedName>
    <definedName name="solver_itr" localSheetId="3" hidden="1">100</definedName>
    <definedName name="solver_itr" localSheetId="0" hidden="1">100</definedName>
    <definedName name="solver_itr" localSheetId="1" hidden="1">100</definedName>
    <definedName name="solver_lhs1" localSheetId="2" hidden="1">'Main CRS'!$F$20:$H$20</definedName>
    <definedName name="solver_lhs1" localSheetId="3" hidden="1">'Main VRS'!$F$20:$H$20</definedName>
    <definedName name="solver_lhs1" localSheetId="0" hidden="1">'Mike Trick Example'!$F$12</definedName>
    <definedName name="solver_lhs1" localSheetId="1" hidden="1">'Mike Trick Example (2)'!$F$12</definedName>
    <definedName name="solver_lhs10" localSheetId="2" hidden="1">'Main CRS'!$F$38:$H$38</definedName>
    <definedName name="solver_lhs10" localSheetId="3" hidden="1">'Main VRS'!$F$38:$H$38</definedName>
    <definedName name="solver_lhs11" localSheetId="2" hidden="1">'Main CRS'!$I$17:$J$17</definedName>
    <definedName name="solver_lhs11" localSheetId="3" hidden="1">'Main VRS'!$I$17:$J$17</definedName>
    <definedName name="solver_lhs12" localSheetId="2" hidden="1">'Main CRS'!$I$23:$J$23</definedName>
    <definedName name="solver_lhs12" localSheetId="3" hidden="1">'Main VRS'!$I$23:$J$23</definedName>
    <definedName name="solver_lhs13" localSheetId="2" hidden="1">'Main CRS'!$I$26:$J$26</definedName>
    <definedName name="solver_lhs13" localSheetId="3" hidden="1">'Main VRS'!$I$26:$J$26</definedName>
    <definedName name="solver_lhs14" localSheetId="2" hidden="1">'Main CRS'!$I$29:$J$29</definedName>
    <definedName name="solver_lhs14" localSheetId="3" hidden="1">'Main VRS'!$I$29:$J$29</definedName>
    <definedName name="solver_lhs15" localSheetId="2" hidden="1">'Main CRS'!$I$32:$J$32</definedName>
    <definedName name="solver_lhs15" localSheetId="3" hidden="1">'Main VRS'!$I$32:$J$32</definedName>
    <definedName name="solver_lhs16" localSheetId="2" hidden="1">'Main CRS'!$I$35:$J$35</definedName>
    <definedName name="solver_lhs16" localSheetId="3" hidden="1">'Main VRS'!$I$35:$J$35</definedName>
    <definedName name="solver_lhs17" localSheetId="2" hidden="1">'Main CRS'!$I$38:$J$38</definedName>
    <definedName name="solver_lhs17" localSheetId="3" hidden="1">'Main VRS'!$I$38:$J$38</definedName>
    <definedName name="solver_lhs18" localSheetId="3" hidden="1">'Main VRS'!$M$17:$T$17</definedName>
    <definedName name="solver_lhs2" localSheetId="2" hidden="1">'Main CRS'!$M$9:$T$16</definedName>
    <definedName name="solver_lhs2" localSheetId="3" hidden="1">'Main VRS'!$M$9:$T$16</definedName>
    <definedName name="solver_lhs2" localSheetId="0" hidden="1">'Mike Trick Example'!$G$12:$H$12</definedName>
    <definedName name="solver_lhs2" localSheetId="1" hidden="1">'Mike Trick Example (2)'!$G$12:$H$12</definedName>
    <definedName name="solver_lhs3" localSheetId="2" hidden="1">'Main CRS'!$I$20:$J$20</definedName>
    <definedName name="solver_lhs3" localSheetId="3" hidden="1">'Main VRS'!$I$20:$J$20</definedName>
    <definedName name="solver_lhs3" localSheetId="0" hidden="1">'Mike Trick Example'!$J$12</definedName>
    <definedName name="solver_lhs3" localSheetId="1" hidden="1">'Mike Trick Example (2)'!$J$12</definedName>
    <definedName name="solver_lhs4" localSheetId="2" hidden="1">'Main CRS'!$F$17:$H$17</definedName>
    <definedName name="solver_lhs4" localSheetId="3" hidden="1">'Main VRS'!$F$17:$H$17</definedName>
    <definedName name="solver_lhs5" localSheetId="2" hidden="1">'Main CRS'!$F$23:$H$23</definedName>
    <definedName name="solver_lhs5" localSheetId="3" hidden="1">'Main VRS'!$F$23:$H$23</definedName>
    <definedName name="solver_lhs6" localSheetId="2" hidden="1">'Main CRS'!$F$26:$H$26</definedName>
    <definedName name="solver_lhs6" localSheetId="3" hidden="1">'Main VRS'!$F$26:$H$26</definedName>
    <definedName name="solver_lhs7" localSheetId="2" hidden="1">'Main CRS'!$F$29:$H$29</definedName>
    <definedName name="solver_lhs7" localSheetId="3" hidden="1">'Main VRS'!$F$29:$H$29</definedName>
    <definedName name="solver_lhs8" localSheetId="2" hidden="1">'Main CRS'!$F$32:$H$32</definedName>
    <definedName name="solver_lhs8" localSheetId="3" hidden="1">'Main VRS'!$F$32:$H$32</definedName>
    <definedName name="solver_lhs9" localSheetId="2" hidden="1">'Main CRS'!$F$35:$H$35</definedName>
    <definedName name="solver_lhs9" localSheetId="3" hidden="1">'Main VRS'!$F$35:$H$35</definedName>
    <definedName name="solver_lin" localSheetId="2" hidden="1">1</definedName>
    <definedName name="solver_lin" localSheetId="3" hidden="1">1</definedName>
    <definedName name="solver_lin" localSheetId="0" hidden="1">1</definedName>
    <definedName name="solver_lin" localSheetId="1" hidden="1">1</definedName>
    <definedName name="solver_neg" localSheetId="2" hidden="1">1</definedName>
    <definedName name="solver_neg" localSheetId="3" hidden="1">1</definedName>
    <definedName name="solver_neg" localSheetId="0" hidden="1">1</definedName>
    <definedName name="solver_neg" localSheetId="1" hidden="1">1</definedName>
    <definedName name="solver_num" localSheetId="2" hidden="1">17</definedName>
    <definedName name="solver_num" localSheetId="3" hidden="1">18</definedName>
    <definedName name="solver_num" localSheetId="0" hidden="1">2</definedName>
    <definedName name="solver_num" localSheetId="1" hidden="1">2</definedName>
    <definedName name="solver_nwt" localSheetId="2" hidden="1">1</definedName>
    <definedName name="solver_nwt" localSheetId="3" hidden="1">1</definedName>
    <definedName name="solver_nwt" localSheetId="0" hidden="1">1</definedName>
    <definedName name="solver_nwt" localSheetId="1" hidden="1">1</definedName>
    <definedName name="solver_opt" localSheetId="2" hidden="1">'Main CRS'!$L$17</definedName>
    <definedName name="solver_opt" localSheetId="3" hidden="1">'Main VRS'!$L$17</definedName>
    <definedName name="solver_opt" localSheetId="0" hidden="1">'Mike Trick Example'!$H$4</definedName>
    <definedName name="solver_opt" localSheetId="1" hidden="1">'Mike Trick Example (2)'!$H$4</definedName>
    <definedName name="solver_pre" localSheetId="2" hidden="1">0.000001</definedName>
    <definedName name="solver_pre" localSheetId="3" hidden="1">0.000001</definedName>
    <definedName name="solver_pre" localSheetId="0" hidden="1">0.000001</definedName>
    <definedName name="solver_pre" localSheetId="1" hidden="1">0.000001</definedName>
    <definedName name="solver_rel1" localSheetId="2" hidden="1">1</definedName>
    <definedName name="solver_rel1" localSheetId="3" hidden="1">1</definedName>
    <definedName name="solver_rel1" localSheetId="0" hidden="1">1</definedName>
    <definedName name="solver_rel1" localSheetId="1" hidden="1">1</definedName>
    <definedName name="solver_rel10" localSheetId="2" hidden="1">1</definedName>
    <definedName name="solver_rel10" localSheetId="3" hidden="1">1</definedName>
    <definedName name="solver_rel11" localSheetId="2" hidden="1">3</definedName>
    <definedName name="solver_rel11" localSheetId="3" hidden="1">3</definedName>
    <definedName name="solver_rel12" localSheetId="2" hidden="1">3</definedName>
    <definedName name="solver_rel12" localSheetId="3" hidden="1">3</definedName>
    <definedName name="solver_rel13" localSheetId="2" hidden="1">3</definedName>
    <definedName name="solver_rel13" localSheetId="3" hidden="1">3</definedName>
    <definedName name="solver_rel14" localSheetId="2" hidden="1">3</definedName>
    <definedName name="solver_rel14" localSheetId="3" hidden="1">3</definedName>
    <definedName name="solver_rel15" localSheetId="2" hidden="1">3</definedName>
    <definedName name="solver_rel15" localSheetId="3" hidden="1">3</definedName>
    <definedName name="solver_rel16" localSheetId="2" hidden="1">3</definedName>
    <definedName name="solver_rel16" localSheetId="3" hidden="1">3</definedName>
    <definedName name="solver_rel17" localSheetId="2" hidden="1">3</definedName>
    <definedName name="solver_rel17" localSheetId="3" hidden="1">3</definedName>
    <definedName name="solver_rel18" localSheetId="3" hidden="1">2</definedName>
    <definedName name="solver_rel2" localSheetId="2" hidden="1">3</definedName>
    <definedName name="solver_rel2" localSheetId="3" hidden="1">3</definedName>
    <definedName name="solver_rel2" localSheetId="0" hidden="1">3</definedName>
    <definedName name="solver_rel2" localSheetId="1" hidden="1">3</definedName>
    <definedName name="solver_rel3" localSheetId="2" hidden="1">3</definedName>
    <definedName name="solver_rel3" localSheetId="3" hidden="1">3</definedName>
    <definedName name="solver_rel3" localSheetId="0" hidden="1">2</definedName>
    <definedName name="solver_rel3" localSheetId="1" hidden="1">2</definedName>
    <definedName name="solver_rel4" localSheetId="2" hidden="1">1</definedName>
    <definedName name="solver_rel4" localSheetId="3" hidden="1">1</definedName>
    <definedName name="solver_rel5" localSheetId="2" hidden="1">1</definedName>
    <definedName name="solver_rel5" localSheetId="3" hidden="1">1</definedName>
    <definedName name="solver_rel6" localSheetId="2" hidden="1">1</definedName>
    <definedName name="solver_rel6" localSheetId="3" hidden="1">1</definedName>
    <definedName name="solver_rel7" localSheetId="2" hidden="1">1</definedName>
    <definedName name="solver_rel7" localSheetId="3" hidden="1">1</definedName>
    <definedName name="solver_rel8" localSheetId="2" hidden="1">1</definedName>
    <definedName name="solver_rel8" localSheetId="3" hidden="1">1</definedName>
    <definedName name="solver_rel9" localSheetId="2" hidden="1">1</definedName>
    <definedName name="solver_rel9" localSheetId="3" hidden="1">1</definedName>
    <definedName name="solver_rhs1" localSheetId="2" hidden="1">'Main CRS'!$F$21:$H$21</definedName>
    <definedName name="solver_rhs1" localSheetId="3" hidden="1">'Main VRS'!$F$21:$H$21</definedName>
    <definedName name="solver_rhs1" localSheetId="0" hidden="1">'Mike Trick Example'!$F$13</definedName>
    <definedName name="solver_rhs1" localSheetId="1" hidden="1">'Mike Trick Example (2)'!$F$13</definedName>
    <definedName name="solver_rhs10" localSheetId="2" hidden="1">'Main CRS'!$F$39:$H$39</definedName>
    <definedName name="solver_rhs10" localSheetId="3" hidden="1">'Main VRS'!$F$39:$H$39</definedName>
    <definedName name="solver_rhs11" localSheetId="2" hidden="1">'Main CRS'!$I$18:$J$18</definedName>
    <definedName name="solver_rhs11" localSheetId="3" hidden="1">'Main VRS'!$I$18:$J$18</definedName>
    <definedName name="solver_rhs12" localSheetId="2" hidden="1">'Main CRS'!$I$24:$J$24</definedName>
    <definedName name="solver_rhs12" localSheetId="3" hidden="1">'Main VRS'!$I$24:$J$24</definedName>
    <definedName name="solver_rhs13" localSheetId="2" hidden="1">'Main CRS'!$I$27:$J$27</definedName>
    <definedName name="solver_rhs13" localSheetId="3" hidden="1">'Main VRS'!$I$27:$J$27</definedName>
    <definedName name="solver_rhs14" localSheetId="2" hidden="1">'Main CRS'!$I$30:$J$30</definedName>
    <definedName name="solver_rhs14" localSheetId="3" hidden="1">'Main VRS'!$I$30:$J$30</definedName>
    <definedName name="solver_rhs15" localSheetId="2" hidden="1">'Main CRS'!$I$33:$J$33</definedName>
    <definedName name="solver_rhs15" localSheetId="3" hidden="1">'Main VRS'!$I$33:$J$33</definedName>
    <definedName name="solver_rhs16" localSheetId="2" hidden="1">'Main CRS'!$I$36:$J$36</definedName>
    <definedName name="solver_rhs16" localSheetId="3" hidden="1">'Main VRS'!$I$36:$J$36</definedName>
    <definedName name="solver_rhs17" localSheetId="2" hidden="1">'Main CRS'!$I$39:$J$39</definedName>
    <definedName name="solver_rhs17" localSheetId="3" hidden="1">'Main VRS'!$I$39:$J$39</definedName>
    <definedName name="solver_rhs18" localSheetId="3" hidden="1">1</definedName>
    <definedName name="solver_rhs2" localSheetId="2" hidden="1">0</definedName>
    <definedName name="solver_rhs2" localSheetId="3" hidden="1">0</definedName>
    <definedName name="solver_rhs2" localSheetId="0" hidden="1">'Mike Trick Example'!$G$13:$H$13</definedName>
    <definedName name="solver_rhs2" localSheetId="1" hidden="1">'Mike Trick Example (2)'!$G$13:$H$13</definedName>
    <definedName name="solver_rhs3" localSheetId="2" hidden="1">'Main CRS'!$I$21:$J$21</definedName>
    <definedName name="solver_rhs3" localSheetId="3" hidden="1">'Main VRS'!$I$21:$J$21</definedName>
    <definedName name="solver_rhs3" localSheetId="0" hidden="1">1</definedName>
    <definedName name="solver_rhs3" localSheetId="1" hidden="1">1</definedName>
    <definedName name="solver_rhs4" localSheetId="2" hidden="1">'Main CRS'!$F$18:$H$18</definedName>
    <definedName name="solver_rhs4" localSheetId="3" hidden="1">'Main VRS'!$F$18:$H$18</definedName>
    <definedName name="solver_rhs5" localSheetId="2" hidden="1">'Main CRS'!$F$24:$H$24</definedName>
    <definedName name="solver_rhs5" localSheetId="3" hidden="1">'Main VRS'!$F$24:$H$24</definedName>
    <definedName name="solver_rhs6" localSheetId="2" hidden="1">'Main CRS'!$F$27:$H$27</definedName>
    <definedName name="solver_rhs6" localSheetId="3" hidden="1">'Main VRS'!$F$27:$H$27</definedName>
    <definedName name="solver_rhs7" localSheetId="2" hidden="1">'Main CRS'!$F$30:$H$30</definedName>
    <definedName name="solver_rhs7" localSheetId="3" hidden="1">'Main VRS'!$F$30:$H$30</definedName>
    <definedName name="solver_rhs8" localSheetId="2" hidden="1">'Main CRS'!$F$33:$H$33</definedName>
    <definedName name="solver_rhs8" localSheetId="3" hidden="1">'Main VRS'!$F$33:$H$33</definedName>
    <definedName name="solver_rhs9" localSheetId="2" hidden="1">'Main CRS'!$F$36:$H$36</definedName>
    <definedName name="solver_rhs9" localSheetId="3" hidden="1">'Main VRS'!$F$36:$H$36</definedName>
    <definedName name="solver_rlx" localSheetId="2" hidden="1">2</definedName>
    <definedName name="solver_rlx" localSheetId="3" hidden="1">2</definedName>
    <definedName name="solver_rlx" localSheetId="0" hidden="1">2</definedName>
    <definedName name="solver_rlx" localSheetId="1" hidden="1">2</definedName>
    <definedName name="solver_scl" localSheetId="2" hidden="1">2</definedName>
    <definedName name="solver_scl" localSheetId="3" hidden="1">2</definedName>
    <definedName name="solver_scl" localSheetId="0" hidden="1">2</definedName>
    <definedName name="solver_scl" localSheetId="1" hidden="1">2</definedName>
    <definedName name="solver_sho" localSheetId="2" hidden="1">2</definedName>
    <definedName name="solver_sho" localSheetId="3" hidden="1">2</definedName>
    <definedName name="solver_sho" localSheetId="0" hidden="1">2</definedName>
    <definedName name="solver_sho" localSheetId="1" hidden="1">2</definedName>
    <definedName name="solver_tim" localSheetId="2" hidden="1">999999999</definedName>
    <definedName name="solver_tim" localSheetId="3" hidden="1">999999999</definedName>
    <definedName name="solver_tim" localSheetId="0" hidden="1">999999999</definedName>
    <definedName name="solver_tim" localSheetId="1" hidden="1">999999999</definedName>
    <definedName name="solver_tol" localSheetId="2" hidden="1">0.05</definedName>
    <definedName name="solver_tol" localSheetId="3" hidden="1">0.05</definedName>
    <definedName name="solver_tol" localSheetId="0" hidden="1">0.05</definedName>
    <definedName name="solver_tol" localSheetId="1" hidden="1">0.05</definedName>
    <definedName name="solver_typ" localSheetId="2" hidden="1">2</definedName>
    <definedName name="solver_typ" localSheetId="3" hidden="1">2</definedName>
    <definedName name="solver_typ" localSheetId="0" hidden="1">2</definedName>
    <definedName name="solver_typ" localSheetId="1" hidden="1">2</definedName>
    <definedName name="solver_val" localSheetId="2" hidden="1">0</definedName>
    <definedName name="solver_val" localSheetId="3" hidden="1">0</definedName>
    <definedName name="solver_val" localSheetId="0" hidden="1">0</definedName>
    <definedName name="solver_val" localSheetId="1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7" l="1"/>
  <c r="G15" i="7"/>
  <c r="F15" i="7"/>
  <c r="H13" i="7"/>
  <c r="G13" i="7"/>
  <c r="F13" i="7"/>
  <c r="J12" i="7"/>
  <c r="H12" i="7"/>
  <c r="G12" i="7"/>
  <c r="F12" i="7"/>
  <c r="G15" i="6" l="1"/>
  <c r="P23" i="5" l="1"/>
  <c r="O23" i="5"/>
  <c r="O23" i="4" l="1"/>
  <c r="P23" i="4"/>
  <c r="N23" i="4"/>
  <c r="L17" i="5" l="1"/>
  <c r="L17" i="4"/>
  <c r="O24" i="4" l="1"/>
  <c r="P24" i="4"/>
  <c r="F15" i="6" l="1"/>
  <c r="J12" i="6"/>
  <c r="H15" i="6" l="1"/>
  <c r="H12" i="6"/>
  <c r="H13" i="6"/>
  <c r="G13" i="6"/>
  <c r="F13" i="6"/>
  <c r="G12" i="6"/>
  <c r="F12" i="6"/>
  <c r="J18" i="3"/>
  <c r="I18" i="3"/>
  <c r="H18" i="3"/>
  <c r="G18" i="3"/>
  <c r="F18" i="3"/>
  <c r="J17" i="3"/>
  <c r="I17" i="3"/>
  <c r="H17" i="3"/>
  <c r="G17" i="3"/>
  <c r="F17" i="3"/>
  <c r="N17" i="5" l="1"/>
  <c r="O17" i="5"/>
  <c r="P17" i="5"/>
  <c r="Q17" i="5"/>
  <c r="R17" i="5"/>
  <c r="S17" i="5"/>
  <c r="T17" i="5"/>
  <c r="M17" i="5"/>
  <c r="N17" i="4"/>
  <c r="O17" i="4"/>
  <c r="P17" i="4"/>
  <c r="Q17" i="4"/>
  <c r="R17" i="4"/>
  <c r="S17" i="4"/>
  <c r="T17" i="4"/>
  <c r="M17" i="4"/>
  <c r="H29" i="5" l="1"/>
  <c r="G29" i="5"/>
  <c r="J39" i="5"/>
  <c r="I39" i="5"/>
  <c r="H39" i="5"/>
  <c r="G39" i="5"/>
  <c r="F39" i="5"/>
  <c r="J38" i="5"/>
  <c r="I38" i="5"/>
  <c r="H38" i="5"/>
  <c r="G38" i="5"/>
  <c r="F38" i="5"/>
  <c r="J36" i="5"/>
  <c r="I36" i="5"/>
  <c r="H36" i="5"/>
  <c r="G36" i="5"/>
  <c r="F36" i="5"/>
  <c r="J35" i="5"/>
  <c r="I35" i="5"/>
  <c r="H35" i="5"/>
  <c r="G35" i="5"/>
  <c r="F35" i="5"/>
  <c r="J33" i="5"/>
  <c r="I33" i="5"/>
  <c r="H33" i="5"/>
  <c r="G33" i="5"/>
  <c r="F33" i="5"/>
  <c r="J32" i="5"/>
  <c r="I32" i="5"/>
  <c r="H32" i="5"/>
  <c r="G32" i="5"/>
  <c r="F32" i="5"/>
  <c r="J30" i="5"/>
  <c r="I30" i="5"/>
  <c r="H30" i="5"/>
  <c r="G30" i="5"/>
  <c r="F30" i="5"/>
  <c r="J29" i="5"/>
  <c r="I29" i="5"/>
  <c r="J27" i="5"/>
  <c r="I27" i="5"/>
  <c r="H27" i="5"/>
  <c r="G27" i="5"/>
  <c r="F27" i="5"/>
  <c r="J26" i="5"/>
  <c r="I26" i="5"/>
  <c r="H26" i="5"/>
  <c r="G26" i="5"/>
  <c r="F26" i="5"/>
  <c r="R24" i="5"/>
  <c r="Q24" i="5"/>
  <c r="P24" i="5"/>
  <c r="O24" i="5"/>
  <c r="N24" i="5"/>
  <c r="J24" i="5"/>
  <c r="I24" i="5"/>
  <c r="H24" i="5"/>
  <c r="G24" i="5"/>
  <c r="F24" i="5"/>
  <c r="R23" i="5"/>
  <c r="Q23" i="5"/>
  <c r="N23" i="5"/>
  <c r="J23" i="5"/>
  <c r="I23" i="5"/>
  <c r="H23" i="5"/>
  <c r="G23" i="5"/>
  <c r="F23" i="5"/>
  <c r="J21" i="5"/>
  <c r="I21" i="5"/>
  <c r="H21" i="5"/>
  <c r="G21" i="5"/>
  <c r="F21" i="5"/>
  <c r="J20" i="5"/>
  <c r="I20" i="5"/>
  <c r="H20" i="5"/>
  <c r="G20" i="5"/>
  <c r="F20" i="5"/>
  <c r="J18" i="5"/>
  <c r="I18" i="5"/>
  <c r="H18" i="5"/>
  <c r="G18" i="5"/>
  <c r="F18" i="5"/>
  <c r="J17" i="5"/>
  <c r="I17" i="5"/>
  <c r="H17" i="5"/>
  <c r="G17" i="5"/>
  <c r="F17" i="5"/>
  <c r="R24" i="4"/>
  <c r="Q24" i="4"/>
  <c r="N24" i="4"/>
  <c r="R23" i="4"/>
  <c r="Q23" i="4"/>
  <c r="J39" i="4"/>
  <c r="I39" i="4"/>
  <c r="H39" i="4"/>
  <c r="G39" i="4"/>
  <c r="F39" i="4"/>
  <c r="J38" i="4"/>
  <c r="I38" i="4"/>
  <c r="H38" i="4"/>
  <c r="G38" i="4"/>
  <c r="F38" i="4"/>
  <c r="J36" i="4"/>
  <c r="I36" i="4"/>
  <c r="H36" i="4"/>
  <c r="G36" i="4"/>
  <c r="F36" i="4"/>
  <c r="J35" i="4"/>
  <c r="I35" i="4"/>
  <c r="H35" i="4"/>
  <c r="G35" i="4"/>
  <c r="F35" i="4"/>
  <c r="J33" i="4"/>
  <c r="I33" i="4"/>
  <c r="H33" i="4"/>
  <c r="G33" i="4"/>
  <c r="F33" i="4"/>
  <c r="J32" i="4"/>
  <c r="I32" i="4"/>
  <c r="H32" i="4"/>
  <c r="G32" i="4"/>
  <c r="F32" i="4"/>
  <c r="J30" i="4"/>
  <c r="I30" i="4"/>
  <c r="H30" i="4"/>
  <c r="G30" i="4"/>
  <c r="F30" i="4"/>
  <c r="J29" i="4"/>
  <c r="I29" i="4"/>
  <c r="H29" i="4"/>
  <c r="G29" i="4"/>
  <c r="F29" i="4"/>
  <c r="J27" i="4"/>
  <c r="I27" i="4"/>
  <c r="H27" i="4"/>
  <c r="G27" i="4"/>
  <c r="F27" i="4"/>
  <c r="J26" i="4"/>
  <c r="I26" i="4"/>
  <c r="H26" i="4"/>
  <c r="G26" i="4"/>
  <c r="F26" i="4"/>
  <c r="J24" i="4"/>
  <c r="I24" i="4"/>
  <c r="H24" i="4"/>
  <c r="G24" i="4"/>
  <c r="F24" i="4"/>
  <c r="J23" i="4"/>
  <c r="I23" i="4"/>
  <c r="H23" i="4"/>
  <c r="G23" i="4"/>
  <c r="F23" i="4"/>
  <c r="J21" i="4"/>
  <c r="I21" i="4"/>
  <c r="H21" i="4"/>
  <c r="G21" i="4"/>
  <c r="F21" i="4"/>
  <c r="J20" i="4"/>
  <c r="I20" i="4"/>
  <c r="H20" i="4"/>
  <c r="G20" i="4"/>
  <c r="F20" i="4"/>
  <c r="J18" i="4"/>
  <c r="I18" i="4"/>
  <c r="H18" i="4"/>
  <c r="G18" i="4"/>
  <c r="F18" i="4"/>
  <c r="J17" i="4"/>
  <c r="I17" i="4"/>
  <c r="H17" i="4"/>
  <c r="G17" i="4"/>
  <c r="F17" i="4"/>
  <c r="F29" i="5" l="1"/>
</calcChain>
</file>

<file path=xl/sharedStrings.xml><?xml version="1.0" encoding="utf-8"?>
<sst xmlns="http://schemas.openxmlformats.org/spreadsheetml/2006/main" count="100" uniqueCount="49">
  <si>
    <t>WH</t>
  </si>
  <si>
    <t>People</t>
  </si>
  <si>
    <t>Size</t>
  </si>
  <si>
    <t>Inputs</t>
  </si>
  <si>
    <t>Outputs</t>
  </si>
  <si>
    <t>Orders</t>
  </si>
  <si>
    <t>Lines</t>
  </si>
  <si>
    <t>Dock Doors</t>
  </si>
  <si>
    <t>Efficency</t>
  </si>
  <si>
    <t>WH2</t>
  </si>
  <si>
    <t>Lambda2</t>
  </si>
  <si>
    <t>Lambda1</t>
  </si>
  <si>
    <t>Lambda3</t>
  </si>
  <si>
    <t>Lambda4</t>
  </si>
  <si>
    <t>Lambda5</t>
  </si>
  <si>
    <t>Lambda6</t>
  </si>
  <si>
    <t>Lambda7</t>
  </si>
  <si>
    <t>Lambda8</t>
  </si>
  <si>
    <t>WH1</t>
  </si>
  <si>
    <t>WH3</t>
  </si>
  <si>
    <t>WH4</t>
  </si>
  <si>
    <t>WH5</t>
  </si>
  <si>
    <t>WH6</t>
  </si>
  <si>
    <t>WH7</t>
  </si>
  <si>
    <t>WH8</t>
  </si>
  <si>
    <t>WH 5</t>
  </si>
  <si>
    <t>Input Goals</t>
  </si>
  <si>
    <t>Output Goals</t>
  </si>
  <si>
    <t>WH 7</t>
  </si>
  <si>
    <t>Note:  If you have a constraint that forces the lambdas to sum to 1, it assumes variable returns to scale</t>
  </si>
  <si>
    <t>add up to 1 and it means that if a site has more inputs than another but a whole lot more outputs, you can assume a portion of that site</t>
  </si>
  <si>
    <t>Efficiency</t>
  </si>
  <si>
    <t>Lambda</t>
  </si>
  <si>
    <t>Test WH</t>
  </si>
  <si>
    <t>Bank</t>
  </si>
  <si>
    <t>A</t>
  </si>
  <si>
    <t>B</t>
  </si>
  <si>
    <t>C</t>
  </si>
  <si>
    <t>Tellers</t>
  </si>
  <si>
    <t>Checks</t>
  </si>
  <si>
    <t>Loans</t>
  </si>
  <si>
    <t>Bank B</t>
  </si>
  <si>
    <t>Goals for B</t>
  </si>
  <si>
    <t>Input Goals (change)</t>
  </si>
  <si>
    <t>Output Goals (change)</t>
  </si>
  <si>
    <t>That is, it treats any step up in an input as some sort of jump.  Without this, the lambdas don't have to</t>
  </si>
  <si>
    <t>l</t>
  </si>
  <si>
    <t>After you run this, copy this sheet and run with 637 and 79 checks and loans for B</t>
  </si>
  <si>
    <t>Note:  It is either the inputs are reduced or the outputs are increased (both don't happen at the same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</si>
</sst>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%"/>
    <numFmt numFmtId="165" formatCode="_(* #,##0.0_);_(* \(#,##0.0\);_(* &quot;-&quot;??_);_(@_)"/>
    <numFmt numFmtId="166" formatCode="_(* #,##0_);_(* \(#,##0\);_(* &quot;-&quot;??_);_(@_)"/>
    <numFmt numFmtId="167" formatCode="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4" fillId="4" borderId="2" applyNumberFormat="0" applyAlignment="0" applyProtection="0"/>
  </cellStyleXfs>
  <cellXfs count="34">
    <xf numFmtId="0" fontId="0" fillId="0" borderId="0" xfId="0"/>
    <xf numFmtId="0" fontId="3" fillId="3" borderId="1" xfId="4"/>
    <xf numFmtId="0" fontId="4" fillId="4" borderId="2" xfId="5"/>
    <xf numFmtId="9" fontId="0" fillId="0" borderId="0" xfId="2" applyFont="1"/>
    <xf numFmtId="9" fontId="0" fillId="0" borderId="0" xfId="2" applyNumberFormat="1" applyFont="1"/>
    <xf numFmtId="166" fontId="4" fillId="4" borderId="2" xfId="1" applyNumberFormat="1" applyFont="1" applyFill="1" applyBorder="1"/>
    <xf numFmtId="165" fontId="0" fillId="0" borderId="0" xfId="1" applyNumberFormat="1" applyFont="1"/>
    <xf numFmtId="166" fontId="0" fillId="0" borderId="0" xfId="1" applyNumberFormat="1" applyFont="1"/>
    <xf numFmtId="166" fontId="0" fillId="0" borderId="0" xfId="0" applyNumberFormat="1"/>
    <xf numFmtId="164" fontId="0" fillId="0" borderId="0" xfId="0" applyNumberFormat="1"/>
    <xf numFmtId="0" fontId="2" fillId="2" borderId="0" xfId="3"/>
    <xf numFmtId="9" fontId="2" fillId="2" borderId="0" xfId="3" applyNumberFormat="1"/>
    <xf numFmtId="166" fontId="2" fillId="2" borderId="3" xfId="3" applyNumberFormat="1" applyBorder="1"/>
    <xf numFmtId="166" fontId="2" fillId="2" borderId="4" xfId="3" applyNumberFormat="1" applyBorder="1"/>
    <xf numFmtId="166" fontId="2" fillId="2" borderId="5" xfId="3" applyNumberFormat="1" applyBorder="1"/>
    <xf numFmtId="165" fontId="2" fillId="2" borderId="6" xfId="3" applyNumberFormat="1" applyBorder="1"/>
    <xf numFmtId="165" fontId="2" fillId="2" borderId="7" xfId="3" applyNumberFormat="1" applyBorder="1"/>
    <xf numFmtId="165" fontId="2" fillId="2" borderId="8" xfId="3" applyNumberFormat="1" applyBorder="1"/>
    <xf numFmtId="166" fontId="2" fillId="2" borderId="6" xfId="3" applyNumberFormat="1" applyBorder="1"/>
    <xf numFmtId="166" fontId="2" fillId="2" borderId="8" xfId="3" applyNumberFormat="1" applyBorder="1"/>
    <xf numFmtId="9" fontId="0" fillId="0" borderId="0" xfId="0" applyNumberFormat="1"/>
    <xf numFmtId="164" fontId="0" fillId="0" borderId="0" xfId="2" applyNumberFormat="1" applyFont="1"/>
    <xf numFmtId="0" fontId="3" fillId="3" borderId="12" xfId="4" applyBorder="1"/>
    <xf numFmtId="0" fontId="0" fillId="0" borderId="13" xfId="0" applyBorder="1"/>
    <xf numFmtId="0" fontId="0" fillId="0" borderId="14" xfId="0" applyBorder="1"/>
    <xf numFmtId="0" fontId="0" fillId="0" borderId="11" xfId="0" applyBorder="1"/>
    <xf numFmtId="167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0" fontId="3" fillId="0" borderId="1" xfId="4" applyFill="1"/>
    <xf numFmtId="0" fontId="4" fillId="0" borderId="2" xfId="5" applyFill="1"/>
    <xf numFmtId="0" fontId="4" fillId="4" borderId="9" xfId="5" applyBorder="1" applyAlignment="1">
      <alignment horizontal="center"/>
    </xf>
    <xf numFmtId="0" fontId="4" fillId="4" borderId="10" xfId="5" applyBorder="1" applyAlignment="1">
      <alignment horizontal="center"/>
    </xf>
    <xf numFmtId="0" fontId="0" fillId="0" borderId="0" xfId="0" applyAlignment="1">
      <alignment horizontal="center"/>
    </xf>
  </cellXfs>
  <cellStyles count="6">
    <cellStyle name="Comma" xfId="1" builtinId="3"/>
    <cellStyle name="Input" xfId="4" builtinId="20"/>
    <cellStyle name="Neutral" xfId="3" builtinId="28"/>
    <cellStyle name="Normal" xfId="0" builtinId="0"/>
    <cellStyle name="Output" xfId="5" builtinId="21"/>
    <cellStyle name="Percent" xfId="2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">
          <a:extLst>
            <a:ext uri="{FF2B5EF4-FFF2-40B4-BE49-F238E27FC236}">
              <a16:creationId xmlns:a16="http://schemas.microsoft.com/office/drawing/2014/main" id="{B4B89F29-9B70-45A5-99F2-36848E545268}"/>
            </a:ext>
          </a:extLst>
        </xdr:cNvPr>
        <xdr:cNvSpPr/>
      </xdr:nvSpPr>
      <xdr:spPr>
        <a:xfrm>
          <a:off x="5800725" y="1543050"/>
          <a:ext cx="781050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15" name="OpenSolver2">
          <a:extLst>
            <a:ext uri="{FF2B5EF4-FFF2-40B4-BE49-F238E27FC236}">
              <a16:creationId xmlns:a16="http://schemas.microsoft.com/office/drawing/2014/main" id="{26CA56EE-65BE-4D79-A482-10125F1FD06C}"/>
            </a:ext>
          </a:extLst>
        </xdr:cNvPr>
        <xdr:cNvSpPr/>
      </xdr:nvSpPr>
      <xdr:spPr>
        <a:xfrm>
          <a:off x="4381500" y="571500"/>
          <a:ext cx="7048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12700</xdr:colOff>
      <xdr:row>3</xdr:row>
      <xdr:rowOff>12700</xdr:rowOff>
    </xdr:from>
    <xdr:to>
      <xdr:col>8</xdr:col>
      <xdr:colOff>0</xdr:colOff>
      <xdr:row>4</xdr:row>
      <xdr:rowOff>0</xdr:rowOff>
    </xdr:to>
    <xdr:sp macro="" textlink="">
      <xdr:nvSpPr>
        <xdr:cNvPr id="16" name="OpenSolver3">
          <a:extLst>
            <a:ext uri="{FF2B5EF4-FFF2-40B4-BE49-F238E27FC236}">
              <a16:creationId xmlns:a16="http://schemas.microsoft.com/office/drawing/2014/main" id="{CDBC45D8-E1BE-410B-988B-A710C5D29955}"/>
            </a:ext>
          </a:extLst>
        </xdr:cNvPr>
        <xdr:cNvSpPr/>
      </xdr:nvSpPr>
      <xdr:spPr>
        <a:xfrm>
          <a:off x="4394200" y="584200"/>
          <a:ext cx="692150" cy="177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2</xdr:row>
      <xdr:rowOff>127000</xdr:rowOff>
    </xdr:from>
    <xdr:to>
      <xdr:col>7</xdr:col>
      <xdr:colOff>231089</xdr:colOff>
      <xdr:row>3</xdr:row>
      <xdr:rowOff>63500</xdr:rowOff>
    </xdr:to>
    <xdr:sp macro="" textlink="">
      <xdr:nvSpPr>
        <xdr:cNvPr id="17" name="OpenSolver4">
          <a:extLst>
            <a:ext uri="{FF2B5EF4-FFF2-40B4-BE49-F238E27FC236}">
              <a16:creationId xmlns:a16="http://schemas.microsoft.com/office/drawing/2014/main" id="{5807A420-ED50-40A6-8DBD-1808916B7981}"/>
            </a:ext>
          </a:extLst>
        </xdr:cNvPr>
        <xdr:cNvSpPr/>
      </xdr:nvSpPr>
      <xdr:spPr>
        <a:xfrm>
          <a:off x="4381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12</xdr:row>
      <xdr:rowOff>0</xdr:rowOff>
    </xdr:to>
    <xdr:sp macro="" textlink="">
      <xdr:nvSpPr>
        <xdr:cNvPr id="18" name="OpenSolver5">
          <a:extLst>
            <a:ext uri="{FF2B5EF4-FFF2-40B4-BE49-F238E27FC236}">
              <a16:creationId xmlns:a16="http://schemas.microsoft.com/office/drawing/2014/main" id="{7CF1B51F-5BE3-4FF2-BF67-79A4F18E6955}"/>
            </a:ext>
          </a:extLst>
        </xdr:cNvPr>
        <xdr:cNvSpPr/>
      </xdr:nvSpPr>
      <xdr:spPr>
        <a:xfrm>
          <a:off x="3143250" y="2124075"/>
          <a:ext cx="6191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9" name="OpenSolver6">
          <a:extLst>
            <a:ext uri="{FF2B5EF4-FFF2-40B4-BE49-F238E27FC236}">
              <a16:creationId xmlns:a16="http://schemas.microsoft.com/office/drawing/2014/main" id="{45B40D22-EE5E-47A8-9B52-AF7735F607DB}"/>
            </a:ext>
          </a:extLst>
        </xdr:cNvPr>
        <xdr:cNvSpPr/>
      </xdr:nvSpPr>
      <xdr:spPr>
        <a:xfrm>
          <a:off x="3143250" y="2314575"/>
          <a:ext cx="6191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5</xdr:col>
      <xdr:colOff>309563</xdr:colOff>
      <xdr:row>12</xdr:row>
      <xdr:rowOff>0</xdr:rowOff>
    </xdr:from>
    <xdr:to>
      <xdr:col>5</xdr:col>
      <xdr:colOff>309563</xdr:colOff>
      <xdr:row>12</xdr:row>
      <xdr:rowOff>0</xdr:rowOff>
    </xdr:to>
    <xdr:cxnSp macro="">
      <xdr:nvCxnSpPr>
        <xdr:cNvPr id="20" name="OpenSolver7">
          <a:extLst>
            <a:ext uri="{FF2B5EF4-FFF2-40B4-BE49-F238E27FC236}">
              <a16:creationId xmlns:a16="http://schemas.microsoft.com/office/drawing/2014/main" id="{AFFAFE35-1204-4FB5-9BF8-56C442D0103C}"/>
            </a:ext>
          </a:extLst>
        </xdr:cNvPr>
        <xdr:cNvCxnSpPr>
          <a:stCxn id="18" idx="2"/>
          <a:endCxn id="19" idx="0"/>
        </xdr:cNvCxnSpPr>
      </xdr:nvCxnSpPr>
      <xdr:spPr>
        <a:xfrm>
          <a:off x="3452813" y="23145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119063</xdr:colOff>
      <xdr:row>11</xdr:row>
      <xdr:rowOff>63500</xdr:rowOff>
    </xdr:from>
    <xdr:to>
      <xdr:col>5</xdr:col>
      <xdr:colOff>500063</xdr:colOff>
      <xdr:row>12</xdr:row>
      <xdr:rowOff>127000</xdr:rowOff>
    </xdr:to>
    <xdr:sp macro="" textlink="">
      <xdr:nvSpPr>
        <xdr:cNvPr id="21" name="OpenSolver8">
          <a:extLst>
            <a:ext uri="{FF2B5EF4-FFF2-40B4-BE49-F238E27FC236}">
              <a16:creationId xmlns:a16="http://schemas.microsoft.com/office/drawing/2014/main" id="{9810DBB4-0ED9-47B0-8D50-47DDA8AAEC13}"/>
            </a:ext>
          </a:extLst>
        </xdr:cNvPr>
        <xdr:cNvSpPr/>
      </xdr:nvSpPr>
      <xdr:spPr>
        <a:xfrm>
          <a:off x="3262313" y="2187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2" name="OpenSolver9">
          <a:extLst>
            <a:ext uri="{FF2B5EF4-FFF2-40B4-BE49-F238E27FC236}">
              <a16:creationId xmlns:a16="http://schemas.microsoft.com/office/drawing/2014/main" id="{9C359FA8-90D9-4A08-9C94-1260A347D808}"/>
            </a:ext>
          </a:extLst>
        </xdr:cNvPr>
        <xdr:cNvSpPr/>
      </xdr:nvSpPr>
      <xdr:spPr>
        <a:xfrm>
          <a:off x="3762375" y="2124075"/>
          <a:ext cx="1323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3" name="OpenSolver10">
          <a:extLst>
            <a:ext uri="{FF2B5EF4-FFF2-40B4-BE49-F238E27FC236}">
              <a16:creationId xmlns:a16="http://schemas.microsoft.com/office/drawing/2014/main" id="{24CC99A5-A54E-4AB7-882D-AF236809DC5B}"/>
            </a:ext>
          </a:extLst>
        </xdr:cNvPr>
        <xdr:cNvSpPr/>
      </xdr:nvSpPr>
      <xdr:spPr>
        <a:xfrm>
          <a:off x="3762375" y="2314575"/>
          <a:ext cx="1323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42863</xdr:colOff>
      <xdr:row>12</xdr:row>
      <xdr:rowOff>0</xdr:rowOff>
    </xdr:from>
    <xdr:to>
      <xdr:col>7</xdr:col>
      <xdr:colOff>42863</xdr:colOff>
      <xdr:row>12</xdr:row>
      <xdr:rowOff>0</xdr:rowOff>
    </xdr:to>
    <xdr:cxnSp macro="">
      <xdr:nvCxnSpPr>
        <xdr:cNvPr id="24" name="OpenSolver11">
          <a:extLst>
            <a:ext uri="{FF2B5EF4-FFF2-40B4-BE49-F238E27FC236}">
              <a16:creationId xmlns:a16="http://schemas.microsoft.com/office/drawing/2014/main" id="{1C79230D-B00A-4DD7-AFD6-B8C3819B3DE1}"/>
            </a:ext>
          </a:extLst>
        </xdr:cNvPr>
        <xdr:cNvCxnSpPr>
          <a:stCxn id="22" idx="2"/>
          <a:endCxn id="23" idx="0"/>
        </xdr:cNvCxnSpPr>
      </xdr:nvCxnSpPr>
      <xdr:spPr>
        <a:xfrm>
          <a:off x="4424363" y="231457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11</xdr:row>
      <xdr:rowOff>63500</xdr:rowOff>
    </xdr:from>
    <xdr:to>
      <xdr:col>7</xdr:col>
      <xdr:colOff>233363</xdr:colOff>
      <xdr:row>12</xdr:row>
      <xdr:rowOff>127000</xdr:rowOff>
    </xdr:to>
    <xdr:sp macro="" textlink="">
      <xdr:nvSpPr>
        <xdr:cNvPr id="25" name="OpenSolver12">
          <a:extLst>
            <a:ext uri="{FF2B5EF4-FFF2-40B4-BE49-F238E27FC236}">
              <a16:creationId xmlns:a16="http://schemas.microsoft.com/office/drawing/2014/main" id="{661A892F-231F-471E-8665-FCC1BE3EA5A4}"/>
            </a:ext>
          </a:extLst>
        </xdr:cNvPr>
        <xdr:cNvSpPr/>
      </xdr:nvSpPr>
      <xdr:spPr>
        <a:xfrm>
          <a:off x="4233863" y="2187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8F3767F2-E5CA-4954-B485-00747C4547C8}"/>
            </a:ext>
          </a:extLst>
        </xdr:cNvPr>
        <xdr:cNvSpPr/>
      </xdr:nvSpPr>
      <xdr:spPr>
        <a:xfrm>
          <a:off x="5800725" y="1543050"/>
          <a:ext cx="781050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2750F336-5111-45E0-931E-2C12A973BA10}"/>
            </a:ext>
          </a:extLst>
        </xdr:cNvPr>
        <xdr:cNvSpPr/>
      </xdr:nvSpPr>
      <xdr:spPr>
        <a:xfrm>
          <a:off x="4381500" y="571500"/>
          <a:ext cx="7048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12700</xdr:colOff>
      <xdr:row>3</xdr:row>
      <xdr:rowOff>12700</xdr:rowOff>
    </xdr:from>
    <xdr:to>
      <xdr:col>8</xdr:col>
      <xdr:colOff>0</xdr:colOff>
      <xdr:row>4</xdr:row>
      <xdr:rowOff>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C0911541-6F89-4BE1-B78A-C849D81ADAAC}"/>
            </a:ext>
          </a:extLst>
        </xdr:cNvPr>
        <xdr:cNvSpPr/>
      </xdr:nvSpPr>
      <xdr:spPr>
        <a:xfrm>
          <a:off x="4394200" y="584200"/>
          <a:ext cx="692150" cy="177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2</xdr:row>
      <xdr:rowOff>127000</xdr:rowOff>
    </xdr:from>
    <xdr:to>
      <xdr:col>7</xdr:col>
      <xdr:colOff>231089</xdr:colOff>
      <xdr:row>3</xdr:row>
      <xdr:rowOff>63500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95831144-EA09-441D-8C90-AA881467F98D}"/>
            </a:ext>
          </a:extLst>
        </xdr:cNvPr>
        <xdr:cNvSpPr/>
      </xdr:nvSpPr>
      <xdr:spPr>
        <a:xfrm>
          <a:off x="4381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12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4A6C1587-D35E-48C1-A0D9-99E7D283D8CD}"/>
            </a:ext>
          </a:extLst>
        </xdr:cNvPr>
        <xdr:cNvSpPr/>
      </xdr:nvSpPr>
      <xdr:spPr>
        <a:xfrm>
          <a:off x="3143250" y="2124075"/>
          <a:ext cx="6191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7" name="OpenSolver6">
          <a:extLst>
            <a:ext uri="{FF2B5EF4-FFF2-40B4-BE49-F238E27FC236}">
              <a16:creationId xmlns:a16="http://schemas.microsoft.com/office/drawing/2014/main" id="{6415E7AC-73CA-424D-B346-BB206BABE326}"/>
            </a:ext>
          </a:extLst>
        </xdr:cNvPr>
        <xdr:cNvSpPr/>
      </xdr:nvSpPr>
      <xdr:spPr>
        <a:xfrm>
          <a:off x="3143250" y="2314575"/>
          <a:ext cx="6191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5</xdr:col>
      <xdr:colOff>309563</xdr:colOff>
      <xdr:row>12</xdr:row>
      <xdr:rowOff>0</xdr:rowOff>
    </xdr:from>
    <xdr:to>
      <xdr:col>5</xdr:col>
      <xdr:colOff>309563</xdr:colOff>
      <xdr:row>12</xdr:row>
      <xdr:rowOff>0</xdr:rowOff>
    </xdr:to>
    <xdr:cxnSp macro="">
      <xdr:nvCxnSpPr>
        <xdr:cNvPr id="8" name="OpenSolver7">
          <a:extLst>
            <a:ext uri="{FF2B5EF4-FFF2-40B4-BE49-F238E27FC236}">
              <a16:creationId xmlns:a16="http://schemas.microsoft.com/office/drawing/2014/main" id="{CB023633-729B-4E38-8640-0B6758B24C78}"/>
            </a:ext>
          </a:extLst>
        </xdr:cNvPr>
        <xdr:cNvCxnSpPr>
          <a:stCxn id="6" idx="2"/>
          <a:endCxn id="7" idx="0"/>
        </xdr:cNvCxnSpPr>
      </xdr:nvCxnSpPr>
      <xdr:spPr>
        <a:xfrm>
          <a:off x="3452813" y="23145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119063</xdr:colOff>
      <xdr:row>11</xdr:row>
      <xdr:rowOff>63500</xdr:rowOff>
    </xdr:from>
    <xdr:to>
      <xdr:col>5</xdr:col>
      <xdr:colOff>500063</xdr:colOff>
      <xdr:row>12</xdr:row>
      <xdr:rowOff>127000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9E50C039-71CC-440F-BB8D-1D5F03EE06DC}"/>
            </a:ext>
          </a:extLst>
        </xdr:cNvPr>
        <xdr:cNvSpPr/>
      </xdr:nvSpPr>
      <xdr:spPr>
        <a:xfrm>
          <a:off x="3262313" y="2187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2A596161-3155-43D6-A7F0-35CE9E547B7A}"/>
            </a:ext>
          </a:extLst>
        </xdr:cNvPr>
        <xdr:cNvSpPr/>
      </xdr:nvSpPr>
      <xdr:spPr>
        <a:xfrm>
          <a:off x="3762375" y="2124075"/>
          <a:ext cx="1323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2BCA35CF-36A4-4FB6-A646-CED94EA77ACA}"/>
            </a:ext>
          </a:extLst>
        </xdr:cNvPr>
        <xdr:cNvSpPr/>
      </xdr:nvSpPr>
      <xdr:spPr>
        <a:xfrm>
          <a:off x="3762375" y="2314575"/>
          <a:ext cx="1323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42863</xdr:colOff>
      <xdr:row>12</xdr:row>
      <xdr:rowOff>0</xdr:rowOff>
    </xdr:from>
    <xdr:to>
      <xdr:col>7</xdr:col>
      <xdr:colOff>42863</xdr:colOff>
      <xdr:row>12</xdr:row>
      <xdr:rowOff>0</xdr:rowOff>
    </xdr:to>
    <xdr:cxnSp macro="">
      <xdr:nvCxnSpPr>
        <xdr:cNvPr id="12" name="OpenSolver11">
          <a:extLst>
            <a:ext uri="{FF2B5EF4-FFF2-40B4-BE49-F238E27FC236}">
              <a16:creationId xmlns:a16="http://schemas.microsoft.com/office/drawing/2014/main" id="{1A2BA6F7-3AC2-46FA-B13E-2BBF7868B6FF}"/>
            </a:ext>
          </a:extLst>
        </xdr:cNvPr>
        <xdr:cNvCxnSpPr>
          <a:stCxn id="10" idx="2"/>
          <a:endCxn id="11" idx="0"/>
        </xdr:cNvCxnSpPr>
      </xdr:nvCxnSpPr>
      <xdr:spPr>
        <a:xfrm>
          <a:off x="4424363" y="231457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11</xdr:row>
      <xdr:rowOff>63500</xdr:rowOff>
    </xdr:from>
    <xdr:to>
      <xdr:col>7</xdr:col>
      <xdr:colOff>233363</xdr:colOff>
      <xdr:row>12</xdr:row>
      <xdr:rowOff>127000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B152452E-A0AD-447B-A5D8-2C1E03988EAA}"/>
            </a:ext>
          </a:extLst>
        </xdr:cNvPr>
        <xdr:cNvSpPr/>
      </xdr:nvSpPr>
      <xdr:spPr>
        <a:xfrm>
          <a:off x="4233863" y="2187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20</xdr:col>
      <xdr:colOff>0</xdr:colOff>
      <xdr:row>16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258050" y="1473200"/>
          <a:ext cx="5962650" cy="14732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11</xdr:col>
      <xdr:colOff>0</xdr:colOff>
      <xdr:row>16</xdr:row>
      <xdr:rowOff>0</xdr:rowOff>
    </xdr:from>
    <xdr:to>
      <xdr:col>12</xdr:col>
      <xdr:colOff>0</xdr:colOff>
      <xdr:row>17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258050" y="2946400"/>
          <a:ext cx="609600" cy="18415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590550</xdr:colOff>
      <xdr:row>15</xdr:row>
      <xdr:rowOff>107950</xdr:rowOff>
    </xdr:from>
    <xdr:to>
      <xdr:col>11</xdr:col>
      <xdr:colOff>212039</xdr:colOff>
      <xdr:row>16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239000" y="2870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048000" y="3498850"/>
          <a:ext cx="2032000" cy="1841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048000" y="3683000"/>
          <a:ext cx="2032000" cy="1841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20</xdr:row>
      <xdr:rowOff>0</xdr:rowOff>
    </xdr:from>
    <xdr:to>
      <xdr:col>6</xdr:col>
      <xdr:colOff>368300</xdr:colOff>
      <xdr:row>20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>
          <a:stCxn id="5" idx="2"/>
          <a:endCxn id="6" idx="0"/>
        </xdr:cNvCxnSpPr>
      </xdr:nvCxnSpPr>
      <xdr:spPr>
        <a:xfrm>
          <a:off x="4064000" y="36830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19</xdr:row>
      <xdr:rowOff>57150</xdr:rowOff>
    </xdr:from>
    <xdr:to>
      <xdr:col>6</xdr:col>
      <xdr:colOff>558800</xdr:colOff>
      <xdr:row>20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873500" y="355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20</xdr:col>
      <xdr:colOff>0</xdr:colOff>
      <xdr:row>16</xdr:row>
      <xdr:rowOff>0</xdr:rowOff>
    </xdr:to>
    <xdr:sp macro="" textlink="">
      <xdr:nvSpPr>
        <xdr:cNvPr id="9" name="OpenSolverM9:T1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867650" y="1473200"/>
          <a:ext cx="5353050" cy="1473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0≤</a:t>
          </a:r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080000" y="3498850"/>
          <a:ext cx="1568450" cy="184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080000" y="3683000"/>
          <a:ext cx="1568450" cy="184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20</xdr:row>
      <xdr:rowOff>0</xdr:rowOff>
    </xdr:from>
    <xdr:to>
      <xdr:col>9</xdr:col>
      <xdr:colOff>34925</xdr:colOff>
      <xdr:row>20</xdr:row>
      <xdr:rowOff>0</xdr:rowOff>
    </xdr:to>
    <xdr:cxnSp macro="">
      <xdr:nvCxnSpPr>
        <xdr:cNvPr id="12" name="OpenSolver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>
          <a:stCxn id="10" idx="2"/>
          <a:endCxn id="11" idx="0"/>
        </xdr:cNvCxnSpPr>
      </xdr:nvCxnSpPr>
      <xdr:spPr>
        <a:xfrm>
          <a:off x="5864225" y="368300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19</xdr:row>
      <xdr:rowOff>57150</xdr:rowOff>
    </xdr:from>
    <xdr:to>
      <xdr:col>9</xdr:col>
      <xdr:colOff>225425</xdr:colOff>
      <xdr:row>20</xdr:row>
      <xdr:rowOff>127000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673725" y="355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048000" y="2946400"/>
          <a:ext cx="2032000" cy="1841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5" name="OpenSolver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048000" y="3130550"/>
          <a:ext cx="2032000" cy="1841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17</xdr:row>
      <xdr:rowOff>0</xdr:rowOff>
    </xdr:from>
    <xdr:to>
      <xdr:col>6</xdr:col>
      <xdr:colOff>368300</xdr:colOff>
      <xdr:row>17</xdr:row>
      <xdr:rowOff>0</xdr:rowOff>
    </xdr:to>
    <xdr:cxnSp macro="">
      <xdr:nvCxnSpPr>
        <xdr:cNvPr id="16" name="OpenSolver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>
          <a:stCxn id="14" idx="2"/>
          <a:endCxn id="15" idx="0"/>
        </xdr:cNvCxnSpPr>
      </xdr:nvCxnSpPr>
      <xdr:spPr>
        <a:xfrm>
          <a:off x="4064000" y="313055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16</xdr:row>
      <xdr:rowOff>57150</xdr:rowOff>
    </xdr:from>
    <xdr:to>
      <xdr:col>6</xdr:col>
      <xdr:colOff>558800</xdr:colOff>
      <xdr:row>17</xdr:row>
      <xdr:rowOff>127000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3873500" y="3003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048000" y="4051300"/>
          <a:ext cx="2032000" cy="1841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19" name="OpenSolver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3048000" y="4235450"/>
          <a:ext cx="2032000" cy="1841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23</xdr:row>
      <xdr:rowOff>0</xdr:rowOff>
    </xdr:from>
    <xdr:to>
      <xdr:col>6</xdr:col>
      <xdr:colOff>368300</xdr:colOff>
      <xdr:row>23</xdr:row>
      <xdr:rowOff>0</xdr:rowOff>
    </xdr:to>
    <xdr:cxnSp macro="">
      <xdr:nvCxnSpPr>
        <xdr:cNvPr id="20" name="OpenSolver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>
          <a:stCxn id="18" idx="2"/>
          <a:endCxn id="19" idx="0"/>
        </xdr:cNvCxnSpPr>
      </xdr:nvCxnSpPr>
      <xdr:spPr>
        <a:xfrm>
          <a:off x="4064000" y="423545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22</xdr:row>
      <xdr:rowOff>57150</xdr:rowOff>
    </xdr:from>
    <xdr:to>
      <xdr:col>6</xdr:col>
      <xdr:colOff>558800</xdr:colOff>
      <xdr:row>23</xdr:row>
      <xdr:rowOff>127000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3873500" y="4108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3048000" y="4603750"/>
          <a:ext cx="2032000" cy="184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5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23" name="OpenSolver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3048000" y="4787900"/>
          <a:ext cx="2032000" cy="184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26</xdr:row>
      <xdr:rowOff>0</xdr:rowOff>
    </xdr:from>
    <xdr:to>
      <xdr:col>6</xdr:col>
      <xdr:colOff>368300</xdr:colOff>
      <xdr:row>26</xdr:row>
      <xdr:rowOff>0</xdr:rowOff>
    </xdr:to>
    <xdr:cxnSp macro="">
      <xdr:nvCxnSpPr>
        <xdr:cNvPr id="24" name="OpenSolver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>
          <a:stCxn id="22" idx="2"/>
          <a:endCxn id="23" idx="0"/>
        </xdr:cNvCxnSpPr>
      </xdr:nvCxnSpPr>
      <xdr:spPr>
        <a:xfrm>
          <a:off x="4064000" y="47879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25</xdr:row>
      <xdr:rowOff>57150</xdr:rowOff>
    </xdr:from>
    <xdr:to>
      <xdr:col>6</xdr:col>
      <xdr:colOff>558800</xdr:colOff>
      <xdr:row>26</xdr:row>
      <xdr:rowOff>127000</xdr:rowOff>
    </xdr:to>
    <xdr:sp macro="" textlink="">
      <xdr:nvSpPr>
        <xdr:cNvPr id="25" name="OpenSolver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3873500" y="4660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26" name="OpenSolver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3048000" y="5156200"/>
          <a:ext cx="2032000" cy="184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27" name="OpenSolver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048000" y="5340350"/>
          <a:ext cx="2032000" cy="184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29</xdr:row>
      <xdr:rowOff>0</xdr:rowOff>
    </xdr:from>
    <xdr:to>
      <xdr:col>6</xdr:col>
      <xdr:colOff>368300</xdr:colOff>
      <xdr:row>29</xdr:row>
      <xdr:rowOff>0</xdr:rowOff>
    </xdr:to>
    <xdr:cxnSp macro="">
      <xdr:nvCxnSpPr>
        <xdr:cNvPr id="28" name="OpenSolver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26" idx="2"/>
          <a:endCxn id="27" idx="0"/>
        </xdr:cNvCxnSpPr>
      </xdr:nvCxnSpPr>
      <xdr:spPr>
        <a:xfrm>
          <a:off x="4064000" y="534035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28</xdr:row>
      <xdr:rowOff>57150</xdr:rowOff>
    </xdr:from>
    <xdr:to>
      <xdr:col>6</xdr:col>
      <xdr:colOff>558800</xdr:colOff>
      <xdr:row>29</xdr:row>
      <xdr:rowOff>127000</xdr:rowOff>
    </xdr:to>
    <xdr:sp macro="" textlink="">
      <xdr:nvSpPr>
        <xdr:cNvPr id="29" name="OpenSolver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3873500" y="521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30" name="OpenSolver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3048000" y="5708650"/>
          <a:ext cx="2032000" cy="1841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31" name="OpenSolver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3048000" y="5892800"/>
          <a:ext cx="2032000" cy="1841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32</xdr:row>
      <xdr:rowOff>0</xdr:rowOff>
    </xdr:from>
    <xdr:to>
      <xdr:col>6</xdr:col>
      <xdr:colOff>368300</xdr:colOff>
      <xdr:row>32</xdr:row>
      <xdr:rowOff>0</xdr:rowOff>
    </xdr:to>
    <xdr:cxnSp macro="">
      <xdr:nvCxnSpPr>
        <xdr:cNvPr id="32" name="OpenSolver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>
          <a:stCxn id="30" idx="2"/>
          <a:endCxn id="31" idx="0"/>
        </xdr:cNvCxnSpPr>
      </xdr:nvCxnSpPr>
      <xdr:spPr>
        <a:xfrm>
          <a:off x="4064000" y="58928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31</xdr:row>
      <xdr:rowOff>57150</xdr:rowOff>
    </xdr:from>
    <xdr:to>
      <xdr:col>6</xdr:col>
      <xdr:colOff>558800</xdr:colOff>
      <xdr:row>32</xdr:row>
      <xdr:rowOff>127000</xdr:rowOff>
    </xdr:to>
    <xdr:sp macro="" textlink="">
      <xdr:nvSpPr>
        <xdr:cNvPr id="33" name="OpenSolver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3873500" y="5765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34" name="OpenSolver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3048000" y="6261100"/>
          <a:ext cx="2032000" cy="184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35" name="OpenSolver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3048000" y="6445250"/>
          <a:ext cx="2032000" cy="184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35</xdr:row>
      <xdr:rowOff>0</xdr:rowOff>
    </xdr:from>
    <xdr:to>
      <xdr:col>6</xdr:col>
      <xdr:colOff>368300</xdr:colOff>
      <xdr:row>35</xdr:row>
      <xdr:rowOff>0</xdr:rowOff>
    </xdr:to>
    <xdr:cxnSp macro="">
      <xdr:nvCxnSpPr>
        <xdr:cNvPr id="36" name="OpenSolver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>
          <a:stCxn id="34" idx="2"/>
          <a:endCxn id="35" idx="0"/>
        </xdr:cNvCxnSpPr>
      </xdr:nvCxnSpPr>
      <xdr:spPr>
        <a:xfrm>
          <a:off x="4064000" y="644525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34</xdr:row>
      <xdr:rowOff>57150</xdr:rowOff>
    </xdr:from>
    <xdr:to>
      <xdr:col>6</xdr:col>
      <xdr:colOff>558800</xdr:colOff>
      <xdr:row>35</xdr:row>
      <xdr:rowOff>127000</xdr:rowOff>
    </xdr:to>
    <xdr:sp macro="" textlink="">
      <xdr:nvSpPr>
        <xdr:cNvPr id="37" name="OpenSolver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3873500" y="631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38" name="OpenSolver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3048000" y="6813550"/>
          <a:ext cx="2032000" cy="184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39" name="OpenSolver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3048000" y="6997700"/>
          <a:ext cx="2032000" cy="184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38</xdr:row>
      <xdr:rowOff>0</xdr:rowOff>
    </xdr:from>
    <xdr:to>
      <xdr:col>6</xdr:col>
      <xdr:colOff>368300</xdr:colOff>
      <xdr:row>38</xdr:row>
      <xdr:rowOff>0</xdr:rowOff>
    </xdr:to>
    <xdr:cxnSp macro="">
      <xdr:nvCxnSpPr>
        <xdr:cNvPr id="40" name="OpenSolver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>
          <a:stCxn id="38" idx="2"/>
          <a:endCxn id="39" idx="0"/>
        </xdr:cNvCxnSpPr>
      </xdr:nvCxnSpPr>
      <xdr:spPr>
        <a:xfrm>
          <a:off x="4064000" y="699770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37</xdr:row>
      <xdr:rowOff>57150</xdr:rowOff>
    </xdr:from>
    <xdr:to>
      <xdr:col>6</xdr:col>
      <xdr:colOff>558800</xdr:colOff>
      <xdr:row>38</xdr:row>
      <xdr:rowOff>127000</xdr:rowOff>
    </xdr:to>
    <xdr:sp macro="" textlink="">
      <xdr:nvSpPr>
        <xdr:cNvPr id="41" name="OpenSolver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873500" y="6870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16</xdr:row>
      <xdr:rowOff>38100</xdr:rowOff>
    </xdr:from>
    <xdr:to>
      <xdr:col>10</xdr:col>
      <xdr:colOff>0</xdr:colOff>
      <xdr:row>17</xdr:row>
      <xdr:rowOff>38100</xdr:rowOff>
    </xdr:to>
    <xdr:sp macro="" textlink="">
      <xdr:nvSpPr>
        <xdr:cNvPr id="42" name="OpenSolver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5080000" y="2984500"/>
          <a:ext cx="1568450" cy="1841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43" name="OpenSolver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5080000" y="3130550"/>
          <a:ext cx="1568450" cy="1841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17</xdr:row>
      <xdr:rowOff>0</xdr:rowOff>
    </xdr:from>
    <xdr:to>
      <xdr:col>9</xdr:col>
      <xdr:colOff>34925</xdr:colOff>
      <xdr:row>17</xdr:row>
      <xdr:rowOff>38100</xdr:rowOff>
    </xdr:to>
    <xdr:cxnSp macro="">
      <xdr:nvCxnSpPr>
        <xdr:cNvPr id="44" name="OpenSolver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>
          <a:stCxn id="42" idx="2"/>
          <a:endCxn id="43" idx="0"/>
        </xdr:cNvCxnSpPr>
      </xdr:nvCxnSpPr>
      <xdr:spPr>
        <a:xfrm flipV="1">
          <a:off x="5864225" y="3130550"/>
          <a:ext cx="0" cy="381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16</xdr:row>
      <xdr:rowOff>57150</xdr:rowOff>
    </xdr:from>
    <xdr:to>
      <xdr:col>9</xdr:col>
      <xdr:colOff>225425</xdr:colOff>
      <xdr:row>17</xdr:row>
      <xdr:rowOff>127000</xdr:rowOff>
    </xdr:to>
    <xdr:sp macro="" textlink="">
      <xdr:nvSpPr>
        <xdr:cNvPr id="45" name="OpenSolver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5673725" y="3003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46" name="OpenSolver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5080000" y="4051300"/>
          <a:ext cx="1568450" cy="1841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8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47" name="OpenSolver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5080000" y="4235450"/>
          <a:ext cx="1568450" cy="1841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23</xdr:row>
      <xdr:rowOff>0</xdr:rowOff>
    </xdr:from>
    <xdr:to>
      <xdr:col>9</xdr:col>
      <xdr:colOff>34925</xdr:colOff>
      <xdr:row>23</xdr:row>
      <xdr:rowOff>0</xdr:rowOff>
    </xdr:to>
    <xdr:cxnSp macro="">
      <xdr:nvCxnSpPr>
        <xdr:cNvPr id="48" name="OpenSolver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>
          <a:stCxn id="46" idx="2"/>
          <a:endCxn id="47" idx="0"/>
        </xdr:cNvCxnSpPr>
      </xdr:nvCxnSpPr>
      <xdr:spPr>
        <a:xfrm>
          <a:off x="5864225" y="423545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22</xdr:row>
      <xdr:rowOff>57150</xdr:rowOff>
    </xdr:from>
    <xdr:to>
      <xdr:col>9</xdr:col>
      <xdr:colOff>225425</xdr:colOff>
      <xdr:row>23</xdr:row>
      <xdr:rowOff>127000</xdr:rowOff>
    </xdr:to>
    <xdr:sp macro="" textlink="">
      <xdr:nvSpPr>
        <xdr:cNvPr id="49" name="OpenSolver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5673725" y="4108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50" name="OpenSolver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5080000" y="4603750"/>
          <a:ext cx="1568450" cy="184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8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51" name="OpenSolver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5080000" y="4787900"/>
          <a:ext cx="1568450" cy="184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26</xdr:row>
      <xdr:rowOff>0</xdr:rowOff>
    </xdr:from>
    <xdr:to>
      <xdr:col>9</xdr:col>
      <xdr:colOff>34925</xdr:colOff>
      <xdr:row>26</xdr:row>
      <xdr:rowOff>0</xdr:rowOff>
    </xdr:to>
    <xdr:cxnSp macro="">
      <xdr:nvCxnSpPr>
        <xdr:cNvPr id="52" name="OpenSolver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>
          <a:stCxn id="50" idx="2"/>
          <a:endCxn id="51" idx="0"/>
        </xdr:cNvCxnSpPr>
      </xdr:nvCxnSpPr>
      <xdr:spPr>
        <a:xfrm>
          <a:off x="5864225" y="47879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25</xdr:row>
      <xdr:rowOff>57150</xdr:rowOff>
    </xdr:from>
    <xdr:to>
      <xdr:col>9</xdr:col>
      <xdr:colOff>225425</xdr:colOff>
      <xdr:row>26</xdr:row>
      <xdr:rowOff>127000</xdr:rowOff>
    </xdr:to>
    <xdr:sp macro="" textlink="">
      <xdr:nvSpPr>
        <xdr:cNvPr id="53" name="OpenSolver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5673725" y="4660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54" name="OpenSolver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5080000" y="5156200"/>
          <a:ext cx="1568450" cy="184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55" name="OpenSolver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5080000" y="5340350"/>
          <a:ext cx="1568450" cy="184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29</xdr:row>
      <xdr:rowOff>0</xdr:rowOff>
    </xdr:from>
    <xdr:to>
      <xdr:col>9</xdr:col>
      <xdr:colOff>34925</xdr:colOff>
      <xdr:row>29</xdr:row>
      <xdr:rowOff>0</xdr:rowOff>
    </xdr:to>
    <xdr:cxnSp macro="">
      <xdr:nvCxnSpPr>
        <xdr:cNvPr id="56" name="OpenSolver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>
          <a:stCxn id="54" idx="2"/>
          <a:endCxn id="55" idx="0"/>
        </xdr:cNvCxnSpPr>
      </xdr:nvCxnSpPr>
      <xdr:spPr>
        <a:xfrm>
          <a:off x="5864225" y="534035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28</xdr:row>
      <xdr:rowOff>57150</xdr:rowOff>
    </xdr:from>
    <xdr:to>
      <xdr:col>9</xdr:col>
      <xdr:colOff>225425</xdr:colOff>
      <xdr:row>29</xdr:row>
      <xdr:rowOff>127000</xdr:rowOff>
    </xdr:to>
    <xdr:sp macro="" textlink="">
      <xdr:nvSpPr>
        <xdr:cNvPr id="57" name="OpenSolver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5673725" y="521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58" name="OpenSolver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5080000" y="5708650"/>
          <a:ext cx="1568450" cy="1841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59" name="OpenSolver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5080000" y="5892800"/>
          <a:ext cx="1568450" cy="1841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32</xdr:row>
      <xdr:rowOff>0</xdr:rowOff>
    </xdr:from>
    <xdr:to>
      <xdr:col>9</xdr:col>
      <xdr:colOff>34925</xdr:colOff>
      <xdr:row>32</xdr:row>
      <xdr:rowOff>0</xdr:rowOff>
    </xdr:to>
    <xdr:cxnSp macro="">
      <xdr:nvCxnSpPr>
        <xdr:cNvPr id="60" name="OpenSolver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>
          <a:stCxn id="58" idx="2"/>
          <a:endCxn id="59" idx="0"/>
        </xdr:cNvCxnSpPr>
      </xdr:nvCxnSpPr>
      <xdr:spPr>
        <a:xfrm>
          <a:off x="5864225" y="58928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31</xdr:row>
      <xdr:rowOff>57150</xdr:rowOff>
    </xdr:from>
    <xdr:to>
      <xdr:col>9</xdr:col>
      <xdr:colOff>225425</xdr:colOff>
      <xdr:row>32</xdr:row>
      <xdr:rowOff>127000</xdr:rowOff>
    </xdr:to>
    <xdr:sp macro="" textlink="">
      <xdr:nvSpPr>
        <xdr:cNvPr id="61" name="OpenSolver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5673725" y="5765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62" name="OpenSolver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5080000" y="6261100"/>
          <a:ext cx="1568450" cy="184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63" name="OpenSolver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5080000" y="6445250"/>
          <a:ext cx="1568450" cy="184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35</xdr:row>
      <xdr:rowOff>0</xdr:rowOff>
    </xdr:from>
    <xdr:to>
      <xdr:col>9</xdr:col>
      <xdr:colOff>34925</xdr:colOff>
      <xdr:row>35</xdr:row>
      <xdr:rowOff>0</xdr:rowOff>
    </xdr:to>
    <xdr:cxnSp macro="">
      <xdr:nvCxnSpPr>
        <xdr:cNvPr id="64" name="OpenSolver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>
          <a:stCxn id="62" idx="2"/>
          <a:endCxn id="63" idx="0"/>
        </xdr:cNvCxnSpPr>
      </xdr:nvCxnSpPr>
      <xdr:spPr>
        <a:xfrm>
          <a:off x="5864225" y="644525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34</xdr:row>
      <xdr:rowOff>57150</xdr:rowOff>
    </xdr:from>
    <xdr:to>
      <xdr:col>9</xdr:col>
      <xdr:colOff>225425</xdr:colOff>
      <xdr:row>35</xdr:row>
      <xdr:rowOff>127000</xdr:rowOff>
    </xdr:to>
    <xdr:sp macro="" textlink="">
      <xdr:nvSpPr>
        <xdr:cNvPr id="65" name="OpenSolver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>
        <a:xfrm>
          <a:off x="5673725" y="631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66" name="OpenSolver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5080000" y="6813550"/>
          <a:ext cx="1568450" cy="184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67" name="OpenSolver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5080000" y="6997700"/>
          <a:ext cx="1568450" cy="184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38</xdr:row>
      <xdr:rowOff>0</xdr:rowOff>
    </xdr:from>
    <xdr:to>
      <xdr:col>9</xdr:col>
      <xdr:colOff>34925</xdr:colOff>
      <xdr:row>38</xdr:row>
      <xdr:rowOff>0</xdr:rowOff>
    </xdr:to>
    <xdr:cxnSp macro="">
      <xdr:nvCxnSpPr>
        <xdr:cNvPr id="68" name="OpenSolver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>
          <a:stCxn id="66" idx="2"/>
          <a:endCxn id="67" idx="0"/>
        </xdr:cNvCxnSpPr>
      </xdr:nvCxnSpPr>
      <xdr:spPr>
        <a:xfrm>
          <a:off x="5864225" y="699770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37</xdr:row>
      <xdr:rowOff>57150</xdr:rowOff>
    </xdr:from>
    <xdr:to>
      <xdr:col>9</xdr:col>
      <xdr:colOff>225425</xdr:colOff>
      <xdr:row>38</xdr:row>
      <xdr:rowOff>127000</xdr:rowOff>
    </xdr:to>
    <xdr:sp macro="" textlink="">
      <xdr:nvSpPr>
        <xdr:cNvPr id="69" name="OpenSolver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5673725" y="6870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6350</xdr:rowOff>
    </xdr:from>
    <xdr:to>
      <xdr:col>20</xdr:col>
      <xdr:colOff>0</xdr:colOff>
      <xdr:row>16</xdr:row>
      <xdr:rowOff>6350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258050" y="1492250"/>
          <a:ext cx="5962650" cy="147955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11</xdr:col>
      <xdr:colOff>0</xdr:colOff>
      <xdr:row>16</xdr:row>
      <xdr:rowOff>0</xdr:rowOff>
    </xdr:from>
    <xdr:to>
      <xdr:col>12</xdr:col>
      <xdr:colOff>0</xdr:colOff>
      <xdr:row>17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258050" y="2965450"/>
          <a:ext cx="609600" cy="18415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590550</xdr:colOff>
      <xdr:row>15</xdr:row>
      <xdr:rowOff>120650</xdr:rowOff>
    </xdr:from>
    <xdr:to>
      <xdr:col>11</xdr:col>
      <xdr:colOff>212039</xdr:colOff>
      <xdr:row>16</xdr:row>
      <xdr:rowOff>57150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239000" y="2895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048000" y="3517900"/>
          <a:ext cx="2032000" cy="1841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048000" y="3702050"/>
          <a:ext cx="2032000" cy="1841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20</xdr:row>
      <xdr:rowOff>0</xdr:rowOff>
    </xdr:from>
    <xdr:to>
      <xdr:col>6</xdr:col>
      <xdr:colOff>368300</xdr:colOff>
      <xdr:row>20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5" idx="2"/>
          <a:endCxn id="6" idx="0"/>
        </xdr:cNvCxnSpPr>
      </xdr:nvCxnSpPr>
      <xdr:spPr>
        <a:xfrm>
          <a:off x="4064000" y="37020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19</xdr:row>
      <xdr:rowOff>57150</xdr:rowOff>
    </xdr:from>
    <xdr:to>
      <xdr:col>6</xdr:col>
      <xdr:colOff>558800</xdr:colOff>
      <xdr:row>20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873500" y="3575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20</xdr:col>
      <xdr:colOff>0</xdr:colOff>
      <xdr:row>16</xdr:row>
      <xdr:rowOff>0</xdr:rowOff>
    </xdr:to>
    <xdr:sp macro="" textlink="">
      <xdr:nvSpPr>
        <xdr:cNvPr id="9" name="OpenSolverM9:T16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867650" y="1485900"/>
          <a:ext cx="5353050" cy="1479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0≤</a:t>
          </a:r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080000" y="3517900"/>
          <a:ext cx="1568450" cy="184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080000" y="3702050"/>
          <a:ext cx="1568450" cy="184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20</xdr:row>
      <xdr:rowOff>0</xdr:rowOff>
    </xdr:from>
    <xdr:to>
      <xdr:col>9</xdr:col>
      <xdr:colOff>34925</xdr:colOff>
      <xdr:row>20</xdr:row>
      <xdr:rowOff>0</xdr:rowOff>
    </xdr:to>
    <xdr:cxnSp macro="">
      <xdr:nvCxnSpPr>
        <xdr:cNvPr id="12" name="OpenSolver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>
          <a:stCxn id="10" idx="2"/>
          <a:endCxn id="11" idx="0"/>
        </xdr:cNvCxnSpPr>
      </xdr:nvCxnSpPr>
      <xdr:spPr>
        <a:xfrm>
          <a:off x="5864225" y="370205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19</xdr:row>
      <xdr:rowOff>57150</xdr:rowOff>
    </xdr:from>
    <xdr:to>
      <xdr:col>9</xdr:col>
      <xdr:colOff>225425</xdr:colOff>
      <xdr:row>20</xdr:row>
      <xdr:rowOff>127000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5673725" y="3575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048000" y="2965450"/>
          <a:ext cx="2032000" cy="1841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5" name="OpenSolver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048000" y="3149600"/>
          <a:ext cx="2032000" cy="1841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17</xdr:row>
      <xdr:rowOff>0</xdr:rowOff>
    </xdr:from>
    <xdr:to>
      <xdr:col>6</xdr:col>
      <xdr:colOff>368300</xdr:colOff>
      <xdr:row>17</xdr:row>
      <xdr:rowOff>0</xdr:rowOff>
    </xdr:to>
    <xdr:cxnSp macro="">
      <xdr:nvCxnSpPr>
        <xdr:cNvPr id="16" name="OpenSolver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stCxn id="14" idx="2"/>
          <a:endCxn id="15" idx="0"/>
        </xdr:cNvCxnSpPr>
      </xdr:nvCxnSpPr>
      <xdr:spPr>
        <a:xfrm>
          <a:off x="4064000" y="314960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16</xdr:row>
      <xdr:rowOff>57150</xdr:rowOff>
    </xdr:from>
    <xdr:to>
      <xdr:col>6</xdr:col>
      <xdr:colOff>558800</xdr:colOff>
      <xdr:row>17</xdr:row>
      <xdr:rowOff>127000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873500" y="3022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3048000" y="4070350"/>
          <a:ext cx="2032000" cy="1841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19" name="OpenSolver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048000" y="4254500"/>
          <a:ext cx="2032000" cy="1841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23</xdr:row>
      <xdr:rowOff>0</xdr:rowOff>
    </xdr:from>
    <xdr:to>
      <xdr:col>6</xdr:col>
      <xdr:colOff>368300</xdr:colOff>
      <xdr:row>23</xdr:row>
      <xdr:rowOff>0</xdr:rowOff>
    </xdr:to>
    <xdr:cxnSp macro="">
      <xdr:nvCxnSpPr>
        <xdr:cNvPr id="20" name="OpenSolver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>
          <a:stCxn id="18" idx="2"/>
          <a:endCxn id="19" idx="0"/>
        </xdr:cNvCxnSpPr>
      </xdr:nvCxnSpPr>
      <xdr:spPr>
        <a:xfrm>
          <a:off x="4064000" y="425450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22</xdr:row>
      <xdr:rowOff>57150</xdr:rowOff>
    </xdr:from>
    <xdr:to>
      <xdr:col>6</xdr:col>
      <xdr:colOff>558800</xdr:colOff>
      <xdr:row>23</xdr:row>
      <xdr:rowOff>127000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873500" y="412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048000" y="4622800"/>
          <a:ext cx="2032000" cy="184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5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23" name="OpenSolver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3048000" y="4806950"/>
          <a:ext cx="2032000" cy="184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26</xdr:row>
      <xdr:rowOff>0</xdr:rowOff>
    </xdr:from>
    <xdr:to>
      <xdr:col>6</xdr:col>
      <xdr:colOff>368300</xdr:colOff>
      <xdr:row>26</xdr:row>
      <xdr:rowOff>0</xdr:rowOff>
    </xdr:to>
    <xdr:cxnSp macro="">
      <xdr:nvCxnSpPr>
        <xdr:cNvPr id="24" name="OpenSolver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>
          <a:stCxn id="22" idx="2"/>
          <a:endCxn id="23" idx="0"/>
        </xdr:cNvCxnSpPr>
      </xdr:nvCxnSpPr>
      <xdr:spPr>
        <a:xfrm>
          <a:off x="4064000" y="48069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25</xdr:row>
      <xdr:rowOff>57150</xdr:rowOff>
    </xdr:from>
    <xdr:to>
      <xdr:col>6</xdr:col>
      <xdr:colOff>558800</xdr:colOff>
      <xdr:row>26</xdr:row>
      <xdr:rowOff>127000</xdr:rowOff>
    </xdr:to>
    <xdr:sp macro="" textlink="">
      <xdr:nvSpPr>
        <xdr:cNvPr id="25" name="OpenSolver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873500" y="4679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26" name="OpenSolver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3048000" y="5181600"/>
          <a:ext cx="2032000" cy="184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27" name="OpenSolver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048000" y="5365750"/>
          <a:ext cx="20320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29</xdr:row>
      <xdr:rowOff>0</xdr:rowOff>
    </xdr:from>
    <xdr:to>
      <xdr:col>6</xdr:col>
      <xdr:colOff>368300</xdr:colOff>
      <xdr:row>29</xdr:row>
      <xdr:rowOff>0</xdr:rowOff>
    </xdr:to>
    <xdr:cxnSp macro="">
      <xdr:nvCxnSpPr>
        <xdr:cNvPr id="28" name="OpenSolver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26" idx="2"/>
          <a:endCxn id="27" idx="0"/>
        </xdr:cNvCxnSpPr>
      </xdr:nvCxnSpPr>
      <xdr:spPr>
        <a:xfrm>
          <a:off x="4064000" y="536575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28</xdr:row>
      <xdr:rowOff>57150</xdr:rowOff>
    </xdr:from>
    <xdr:to>
      <xdr:col>6</xdr:col>
      <xdr:colOff>558800</xdr:colOff>
      <xdr:row>29</xdr:row>
      <xdr:rowOff>127000</xdr:rowOff>
    </xdr:to>
    <xdr:sp macro="" textlink="">
      <xdr:nvSpPr>
        <xdr:cNvPr id="29" name="OpenSolver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3873500" y="5238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30" name="OpenSolver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048000" y="5740400"/>
          <a:ext cx="2032000" cy="1841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31" name="OpenSolver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3048000" y="5924550"/>
          <a:ext cx="2032000" cy="1841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32</xdr:row>
      <xdr:rowOff>0</xdr:rowOff>
    </xdr:from>
    <xdr:to>
      <xdr:col>6</xdr:col>
      <xdr:colOff>368300</xdr:colOff>
      <xdr:row>32</xdr:row>
      <xdr:rowOff>0</xdr:rowOff>
    </xdr:to>
    <xdr:cxnSp macro="">
      <xdr:nvCxnSpPr>
        <xdr:cNvPr id="32" name="OpenSolver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>
          <a:stCxn id="30" idx="2"/>
          <a:endCxn id="31" idx="0"/>
        </xdr:cNvCxnSpPr>
      </xdr:nvCxnSpPr>
      <xdr:spPr>
        <a:xfrm>
          <a:off x="4064000" y="59245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31</xdr:row>
      <xdr:rowOff>57150</xdr:rowOff>
    </xdr:from>
    <xdr:to>
      <xdr:col>6</xdr:col>
      <xdr:colOff>558800</xdr:colOff>
      <xdr:row>32</xdr:row>
      <xdr:rowOff>127000</xdr:rowOff>
    </xdr:to>
    <xdr:sp macro="" textlink="">
      <xdr:nvSpPr>
        <xdr:cNvPr id="33" name="OpenSolver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3873500" y="5797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34" name="OpenSolver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3048000" y="6292850"/>
          <a:ext cx="2032000" cy="184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35" name="OpenSolver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048000" y="6477000"/>
          <a:ext cx="2032000" cy="184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35</xdr:row>
      <xdr:rowOff>0</xdr:rowOff>
    </xdr:from>
    <xdr:to>
      <xdr:col>6</xdr:col>
      <xdr:colOff>368300</xdr:colOff>
      <xdr:row>35</xdr:row>
      <xdr:rowOff>0</xdr:rowOff>
    </xdr:to>
    <xdr:cxnSp macro="">
      <xdr:nvCxnSpPr>
        <xdr:cNvPr id="36" name="OpenSolver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stCxn id="34" idx="2"/>
          <a:endCxn id="35" idx="0"/>
        </xdr:cNvCxnSpPr>
      </xdr:nvCxnSpPr>
      <xdr:spPr>
        <a:xfrm>
          <a:off x="4064000" y="64770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34</xdr:row>
      <xdr:rowOff>57150</xdr:rowOff>
    </xdr:from>
    <xdr:to>
      <xdr:col>6</xdr:col>
      <xdr:colOff>558800</xdr:colOff>
      <xdr:row>35</xdr:row>
      <xdr:rowOff>127000</xdr:rowOff>
    </xdr:to>
    <xdr:sp macro="" textlink="">
      <xdr:nvSpPr>
        <xdr:cNvPr id="37" name="OpenSolver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3873500" y="635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38" name="OpenSolver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3048000" y="6845300"/>
          <a:ext cx="2032000" cy="184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39" name="OpenSolver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3048000" y="7029450"/>
          <a:ext cx="2032000" cy="184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368300</xdr:colOff>
      <xdr:row>38</xdr:row>
      <xdr:rowOff>0</xdr:rowOff>
    </xdr:from>
    <xdr:to>
      <xdr:col>6</xdr:col>
      <xdr:colOff>368300</xdr:colOff>
      <xdr:row>38</xdr:row>
      <xdr:rowOff>0</xdr:rowOff>
    </xdr:to>
    <xdr:cxnSp macro="">
      <xdr:nvCxnSpPr>
        <xdr:cNvPr id="40" name="OpenSolver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>
          <a:stCxn id="38" idx="2"/>
          <a:endCxn id="39" idx="0"/>
        </xdr:cNvCxnSpPr>
      </xdr:nvCxnSpPr>
      <xdr:spPr>
        <a:xfrm>
          <a:off x="4064000" y="702945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37</xdr:row>
      <xdr:rowOff>57150</xdr:rowOff>
    </xdr:from>
    <xdr:to>
      <xdr:col>6</xdr:col>
      <xdr:colOff>558800</xdr:colOff>
      <xdr:row>38</xdr:row>
      <xdr:rowOff>127000</xdr:rowOff>
    </xdr:to>
    <xdr:sp macro="" textlink="">
      <xdr:nvSpPr>
        <xdr:cNvPr id="41" name="OpenSolver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3873500" y="690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2" name="OpenSolver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5080000" y="2965450"/>
          <a:ext cx="1568450" cy="1841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43" name="OpenSolver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5080000" y="3149600"/>
          <a:ext cx="1568450" cy="1841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17</xdr:row>
      <xdr:rowOff>0</xdr:rowOff>
    </xdr:from>
    <xdr:to>
      <xdr:col>9</xdr:col>
      <xdr:colOff>34925</xdr:colOff>
      <xdr:row>17</xdr:row>
      <xdr:rowOff>0</xdr:rowOff>
    </xdr:to>
    <xdr:cxnSp macro="">
      <xdr:nvCxnSpPr>
        <xdr:cNvPr id="44" name="OpenSolver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42" idx="2"/>
          <a:endCxn id="43" idx="0"/>
        </xdr:cNvCxnSpPr>
      </xdr:nvCxnSpPr>
      <xdr:spPr>
        <a:xfrm>
          <a:off x="5864225" y="3149600"/>
          <a:ext cx="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16</xdr:row>
      <xdr:rowOff>57150</xdr:rowOff>
    </xdr:from>
    <xdr:to>
      <xdr:col>9</xdr:col>
      <xdr:colOff>225425</xdr:colOff>
      <xdr:row>17</xdr:row>
      <xdr:rowOff>127000</xdr:rowOff>
    </xdr:to>
    <xdr:sp macro="" textlink="">
      <xdr:nvSpPr>
        <xdr:cNvPr id="45" name="OpenSolver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5673725" y="3022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46" name="OpenSolver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080000" y="4070350"/>
          <a:ext cx="1568450" cy="1841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8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47" name="OpenSolver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5080000" y="4254500"/>
          <a:ext cx="1568450" cy="1841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23</xdr:row>
      <xdr:rowOff>0</xdr:rowOff>
    </xdr:from>
    <xdr:to>
      <xdr:col>9</xdr:col>
      <xdr:colOff>34925</xdr:colOff>
      <xdr:row>23</xdr:row>
      <xdr:rowOff>0</xdr:rowOff>
    </xdr:to>
    <xdr:cxnSp macro="">
      <xdr:nvCxnSpPr>
        <xdr:cNvPr id="48" name="OpenSolver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>
          <a:stCxn id="46" idx="2"/>
          <a:endCxn id="47" idx="0"/>
        </xdr:cNvCxnSpPr>
      </xdr:nvCxnSpPr>
      <xdr:spPr>
        <a:xfrm>
          <a:off x="5864225" y="425450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22</xdr:row>
      <xdr:rowOff>57150</xdr:rowOff>
    </xdr:from>
    <xdr:to>
      <xdr:col>9</xdr:col>
      <xdr:colOff>225425</xdr:colOff>
      <xdr:row>23</xdr:row>
      <xdr:rowOff>127000</xdr:rowOff>
    </xdr:to>
    <xdr:sp macro="" textlink="">
      <xdr:nvSpPr>
        <xdr:cNvPr id="49" name="OpenSolver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5673725" y="412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50" name="OpenSolver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5080000" y="4622800"/>
          <a:ext cx="1568450" cy="184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8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51" name="OpenSolver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5080000" y="4806950"/>
          <a:ext cx="1568450" cy="184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26</xdr:row>
      <xdr:rowOff>0</xdr:rowOff>
    </xdr:from>
    <xdr:to>
      <xdr:col>9</xdr:col>
      <xdr:colOff>34925</xdr:colOff>
      <xdr:row>26</xdr:row>
      <xdr:rowOff>0</xdr:rowOff>
    </xdr:to>
    <xdr:cxnSp macro="">
      <xdr:nvCxnSpPr>
        <xdr:cNvPr id="52" name="OpenSolver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>
          <a:stCxn id="50" idx="2"/>
          <a:endCxn id="51" idx="0"/>
        </xdr:cNvCxnSpPr>
      </xdr:nvCxnSpPr>
      <xdr:spPr>
        <a:xfrm>
          <a:off x="5864225" y="48069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25</xdr:row>
      <xdr:rowOff>57150</xdr:rowOff>
    </xdr:from>
    <xdr:to>
      <xdr:col>9</xdr:col>
      <xdr:colOff>225425</xdr:colOff>
      <xdr:row>26</xdr:row>
      <xdr:rowOff>127000</xdr:rowOff>
    </xdr:to>
    <xdr:sp macro="" textlink="">
      <xdr:nvSpPr>
        <xdr:cNvPr id="53" name="OpenSolver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5673725" y="4679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54" name="OpenSolver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5080000" y="5181600"/>
          <a:ext cx="1568450" cy="184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55" name="OpenSolver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>
        <a:xfrm>
          <a:off x="5080000" y="5365750"/>
          <a:ext cx="15684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29</xdr:row>
      <xdr:rowOff>0</xdr:rowOff>
    </xdr:from>
    <xdr:to>
      <xdr:col>9</xdr:col>
      <xdr:colOff>34925</xdr:colOff>
      <xdr:row>29</xdr:row>
      <xdr:rowOff>0</xdr:rowOff>
    </xdr:to>
    <xdr:cxnSp macro="">
      <xdr:nvCxnSpPr>
        <xdr:cNvPr id="56" name="OpenSolver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>
          <a:stCxn id="54" idx="2"/>
          <a:endCxn id="55" idx="0"/>
        </xdr:cNvCxnSpPr>
      </xdr:nvCxnSpPr>
      <xdr:spPr>
        <a:xfrm>
          <a:off x="5864225" y="5365750"/>
          <a:ext cx="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28</xdr:row>
      <xdr:rowOff>57150</xdr:rowOff>
    </xdr:from>
    <xdr:to>
      <xdr:col>9</xdr:col>
      <xdr:colOff>225425</xdr:colOff>
      <xdr:row>29</xdr:row>
      <xdr:rowOff>127000</xdr:rowOff>
    </xdr:to>
    <xdr:sp macro="" textlink="">
      <xdr:nvSpPr>
        <xdr:cNvPr id="57" name="OpenSolver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5673725" y="5238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58" name="OpenSolver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5080000" y="5740400"/>
          <a:ext cx="1568450" cy="1841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59" name="OpenSolver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080000" y="5924550"/>
          <a:ext cx="1568450" cy="1841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32</xdr:row>
      <xdr:rowOff>0</xdr:rowOff>
    </xdr:from>
    <xdr:to>
      <xdr:col>9</xdr:col>
      <xdr:colOff>34925</xdr:colOff>
      <xdr:row>32</xdr:row>
      <xdr:rowOff>0</xdr:rowOff>
    </xdr:to>
    <xdr:cxnSp macro="">
      <xdr:nvCxnSpPr>
        <xdr:cNvPr id="60" name="OpenSolver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>
          <a:stCxn id="58" idx="2"/>
          <a:endCxn id="59" idx="0"/>
        </xdr:cNvCxnSpPr>
      </xdr:nvCxnSpPr>
      <xdr:spPr>
        <a:xfrm>
          <a:off x="5864225" y="59245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31</xdr:row>
      <xdr:rowOff>57150</xdr:rowOff>
    </xdr:from>
    <xdr:to>
      <xdr:col>9</xdr:col>
      <xdr:colOff>225425</xdr:colOff>
      <xdr:row>32</xdr:row>
      <xdr:rowOff>127000</xdr:rowOff>
    </xdr:to>
    <xdr:sp macro="" textlink="">
      <xdr:nvSpPr>
        <xdr:cNvPr id="61" name="OpenSolver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5673725" y="5797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62" name="OpenSolver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5080000" y="6292850"/>
          <a:ext cx="1568450" cy="184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63" name="OpenSolver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5080000" y="6477000"/>
          <a:ext cx="1568450" cy="184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35</xdr:row>
      <xdr:rowOff>0</xdr:rowOff>
    </xdr:from>
    <xdr:to>
      <xdr:col>9</xdr:col>
      <xdr:colOff>34925</xdr:colOff>
      <xdr:row>35</xdr:row>
      <xdr:rowOff>0</xdr:rowOff>
    </xdr:to>
    <xdr:cxnSp macro="">
      <xdr:nvCxnSpPr>
        <xdr:cNvPr id="64" name="OpenSolver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62" idx="2"/>
          <a:endCxn id="63" idx="0"/>
        </xdr:cNvCxnSpPr>
      </xdr:nvCxnSpPr>
      <xdr:spPr>
        <a:xfrm>
          <a:off x="5864225" y="64770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34</xdr:row>
      <xdr:rowOff>57150</xdr:rowOff>
    </xdr:from>
    <xdr:to>
      <xdr:col>9</xdr:col>
      <xdr:colOff>225425</xdr:colOff>
      <xdr:row>35</xdr:row>
      <xdr:rowOff>127000</xdr:rowOff>
    </xdr:to>
    <xdr:sp macro="" textlink="">
      <xdr:nvSpPr>
        <xdr:cNvPr id="65" name="OpenSolver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5673725" y="635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66" name="OpenSolver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5080000" y="6845300"/>
          <a:ext cx="1568450" cy="184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67" name="OpenSolver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080000" y="7029450"/>
          <a:ext cx="1568450" cy="184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34925</xdr:colOff>
      <xdr:row>38</xdr:row>
      <xdr:rowOff>0</xdr:rowOff>
    </xdr:from>
    <xdr:to>
      <xdr:col>9</xdr:col>
      <xdr:colOff>34925</xdr:colOff>
      <xdr:row>38</xdr:row>
      <xdr:rowOff>0</xdr:rowOff>
    </xdr:to>
    <xdr:cxnSp macro="">
      <xdr:nvCxnSpPr>
        <xdr:cNvPr id="68" name="OpenSolver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>
          <a:stCxn id="66" idx="2"/>
          <a:endCxn id="67" idx="0"/>
        </xdr:cNvCxnSpPr>
      </xdr:nvCxnSpPr>
      <xdr:spPr>
        <a:xfrm>
          <a:off x="5864225" y="7029450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593725</xdr:colOff>
      <xdr:row>37</xdr:row>
      <xdr:rowOff>57150</xdr:rowOff>
    </xdr:from>
    <xdr:to>
      <xdr:col>9</xdr:col>
      <xdr:colOff>225425</xdr:colOff>
      <xdr:row>38</xdr:row>
      <xdr:rowOff>127000</xdr:rowOff>
    </xdr:to>
    <xdr:sp macro="" textlink="">
      <xdr:nvSpPr>
        <xdr:cNvPr id="69" name="OpenSolver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5673725" y="690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20</xdr:col>
      <xdr:colOff>0</xdr:colOff>
      <xdr:row>17</xdr:row>
      <xdr:rowOff>0</xdr:rowOff>
    </xdr:to>
    <xdr:sp macro="" textlink="">
      <xdr:nvSpPr>
        <xdr:cNvPr id="70" name="OpenSolverM17:T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7867650" y="2965450"/>
          <a:ext cx="5353050" cy="1841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1=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J21"/>
  <sheetViews>
    <sheetView tabSelected="1" topLeftCell="A2" workbookViewId="0">
      <selection activeCell="I12" sqref="I12"/>
    </sheetView>
  </sheetViews>
  <sheetFormatPr defaultRowHeight="14.4" x14ac:dyDescent="0.3"/>
  <cols>
    <col min="5" max="5" width="10.5546875" customWidth="1"/>
    <col min="6" max="7" width="9.33203125" bestFit="1" customWidth="1"/>
    <col min="8" max="8" width="10.5546875" bestFit="1" customWidth="1"/>
    <col min="9" max="9" width="10.6640625" bestFit="1" customWidth="1"/>
    <col min="10" max="10" width="11.6640625" bestFit="1" customWidth="1"/>
  </cols>
  <sheetData>
    <row r="4" spans="5:10" x14ac:dyDescent="0.3">
      <c r="G4" t="s">
        <v>31</v>
      </c>
      <c r="H4" s="21">
        <v>0</v>
      </c>
    </row>
    <row r="7" spans="5:10" ht="15" thickBot="1" x14ac:dyDescent="0.35">
      <c r="F7" s="1" t="s">
        <v>3</v>
      </c>
      <c r="G7" s="31" t="s">
        <v>4</v>
      </c>
      <c r="H7" s="32"/>
    </row>
    <row r="8" spans="5:10" ht="15" thickBot="1" x14ac:dyDescent="0.35">
      <c r="E8" s="25" t="s">
        <v>34</v>
      </c>
      <c r="F8" s="22" t="s">
        <v>38</v>
      </c>
      <c r="G8" s="2" t="s">
        <v>39</v>
      </c>
      <c r="H8" s="2" t="s">
        <v>40</v>
      </c>
      <c r="J8" t="s">
        <v>32</v>
      </c>
    </row>
    <row r="9" spans="5:10" x14ac:dyDescent="0.3">
      <c r="E9" s="23" t="s">
        <v>35</v>
      </c>
      <c r="F9" s="22">
        <v>10</v>
      </c>
      <c r="G9" s="5">
        <v>1000</v>
      </c>
      <c r="H9" s="5">
        <v>20</v>
      </c>
      <c r="J9" s="3"/>
    </row>
    <row r="10" spans="5:10" x14ac:dyDescent="0.3">
      <c r="E10" s="23" t="s">
        <v>36</v>
      </c>
      <c r="F10" s="22">
        <v>10</v>
      </c>
      <c r="G10" s="5">
        <v>400</v>
      </c>
      <c r="H10" s="5">
        <v>50</v>
      </c>
      <c r="J10" s="3"/>
    </row>
    <row r="11" spans="5:10" ht="15" thickBot="1" x14ac:dyDescent="0.35">
      <c r="E11" s="24" t="s">
        <v>37</v>
      </c>
      <c r="F11" s="22">
        <v>10</v>
      </c>
      <c r="G11" s="5">
        <v>200</v>
      </c>
      <c r="H11" s="5">
        <v>150</v>
      </c>
      <c r="J11" s="3"/>
    </row>
    <row r="12" spans="5:10" x14ac:dyDescent="0.3">
      <c r="F12" s="7">
        <f>SUMPRODUCT(F9:F11,$J$9:$J$11)</f>
        <v>0</v>
      </c>
      <c r="G12" s="7">
        <f>SUMPRODUCT(G9:G11,$J$9:$J$11)</f>
        <v>0</v>
      </c>
      <c r="H12" s="7">
        <f>SUMPRODUCT(H9:H11,$J$9:$J$11)</f>
        <v>0</v>
      </c>
      <c r="J12" s="20">
        <f>SUM(J9:J11)</f>
        <v>0</v>
      </c>
    </row>
    <row r="13" spans="5:10" x14ac:dyDescent="0.3">
      <c r="E13" t="s">
        <v>41</v>
      </c>
      <c r="F13">
        <f>F10*H4</f>
        <v>0</v>
      </c>
      <c r="G13" s="7">
        <f>G10</f>
        <v>400</v>
      </c>
      <c r="H13" s="7">
        <f>H10</f>
        <v>50</v>
      </c>
    </row>
    <row r="15" spans="5:10" x14ac:dyDescent="0.3">
      <c r="E15" t="s">
        <v>42</v>
      </c>
      <c r="F15" s="26">
        <f>SUMPRODUCT(F9:F11,J9:J11)-F10</f>
        <v>-10</v>
      </c>
      <c r="G15" s="27" t="e">
        <f>1/$H$4*SUMPRODUCT(G9:G11,J9:$J$11)</f>
        <v>#DIV/0!</v>
      </c>
      <c r="H15" s="27" t="e">
        <f>1/$H$4*SUMPRODUCT(H9:H11,$J9:J$11)</f>
        <v>#DIV/0!</v>
      </c>
    </row>
    <row r="17" spans="3:5" x14ac:dyDescent="0.3">
      <c r="E17" t="s">
        <v>48</v>
      </c>
    </row>
    <row r="18" spans="3:5" x14ac:dyDescent="0.3">
      <c r="E18" t="s">
        <v>47</v>
      </c>
    </row>
    <row r="21" spans="3:5" x14ac:dyDescent="0.3">
      <c r="C21" t="s">
        <v>46</v>
      </c>
    </row>
  </sheetData>
  <mergeCells count="1">
    <mergeCell ref="G7:H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4F871-1015-4561-BD91-8A724A28C8F4}">
  <sheetPr codeName="Sheet3"/>
  <dimension ref="C4:J21"/>
  <sheetViews>
    <sheetView topLeftCell="A2" workbookViewId="0">
      <selection activeCell="J9" sqref="J9:J11"/>
    </sheetView>
  </sheetViews>
  <sheetFormatPr defaultRowHeight="14.4" x14ac:dyDescent="0.3"/>
  <cols>
    <col min="5" max="5" width="10.5546875" customWidth="1"/>
    <col min="6" max="7" width="9.33203125" bestFit="1" customWidth="1"/>
    <col min="8" max="8" width="10.5546875" bestFit="1" customWidth="1"/>
    <col min="9" max="9" width="10.6640625" bestFit="1" customWidth="1"/>
    <col min="10" max="10" width="11.6640625" bestFit="1" customWidth="1"/>
  </cols>
  <sheetData>
    <row r="4" spans="5:10" x14ac:dyDescent="0.3">
      <c r="G4" t="s">
        <v>31</v>
      </c>
      <c r="H4" s="21">
        <v>0</v>
      </c>
    </row>
    <row r="7" spans="5:10" ht="15" thickBot="1" x14ac:dyDescent="0.35">
      <c r="F7" s="1" t="s">
        <v>3</v>
      </c>
      <c r="G7" s="31" t="s">
        <v>4</v>
      </c>
      <c r="H7" s="32"/>
    </row>
    <row r="8" spans="5:10" ht="15" thickBot="1" x14ac:dyDescent="0.35">
      <c r="E8" s="25" t="s">
        <v>34</v>
      </c>
      <c r="F8" s="22" t="s">
        <v>38</v>
      </c>
      <c r="G8" s="2" t="s">
        <v>39</v>
      </c>
      <c r="H8" s="2" t="s">
        <v>40</v>
      </c>
      <c r="J8" t="s">
        <v>32</v>
      </c>
    </row>
    <row r="9" spans="5:10" x14ac:dyDescent="0.3">
      <c r="E9" s="23" t="s">
        <v>35</v>
      </c>
      <c r="F9" s="22">
        <v>10</v>
      </c>
      <c r="G9" s="5">
        <v>1000</v>
      </c>
      <c r="H9" s="5">
        <v>20</v>
      </c>
      <c r="J9" s="3"/>
    </row>
    <row r="10" spans="5:10" x14ac:dyDescent="0.3">
      <c r="E10" s="23" t="s">
        <v>36</v>
      </c>
      <c r="F10" s="22">
        <v>10</v>
      </c>
      <c r="G10" s="5">
        <v>637</v>
      </c>
      <c r="H10" s="5">
        <v>79</v>
      </c>
      <c r="J10" s="3"/>
    </row>
    <row r="11" spans="5:10" ht="15" thickBot="1" x14ac:dyDescent="0.35">
      <c r="E11" s="24" t="s">
        <v>37</v>
      </c>
      <c r="F11" s="22">
        <v>10</v>
      </c>
      <c r="G11" s="5">
        <v>200</v>
      </c>
      <c r="H11" s="5">
        <v>150</v>
      </c>
      <c r="J11" s="3"/>
    </row>
    <row r="12" spans="5:10" x14ac:dyDescent="0.3">
      <c r="F12" s="7">
        <f>SUMPRODUCT(F9:F11,$J$9:$J$11)</f>
        <v>0</v>
      </c>
      <c r="G12" s="7">
        <f>SUMPRODUCT(G9:G11,$J$9:$J$11)</f>
        <v>0</v>
      </c>
      <c r="H12" s="7">
        <f>SUMPRODUCT(H9:H11,$J$9:$J$11)</f>
        <v>0</v>
      </c>
      <c r="J12" s="20">
        <f>SUM(J9:J11)</f>
        <v>0</v>
      </c>
    </row>
    <row r="13" spans="5:10" x14ac:dyDescent="0.3">
      <c r="E13" t="s">
        <v>41</v>
      </c>
      <c r="F13">
        <f>F10*H4</f>
        <v>0</v>
      </c>
      <c r="G13" s="7">
        <f>G10</f>
        <v>637</v>
      </c>
      <c r="H13" s="7">
        <f>H10</f>
        <v>79</v>
      </c>
    </row>
    <row r="15" spans="5:10" x14ac:dyDescent="0.3">
      <c r="E15" t="s">
        <v>42</v>
      </c>
      <c r="F15" s="26">
        <f>SUMPRODUCT(F9:F11,J9:J11)-F10</f>
        <v>-10</v>
      </c>
      <c r="G15" s="27" t="e">
        <f>1/$H$4*SUMPRODUCT(G9:G11,J9:$J$11)</f>
        <v>#DIV/0!</v>
      </c>
      <c r="H15" s="27" t="e">
        <f>1/$H$4*SUMPRODUCT(H9:H11,$J9:J$11)</f>
        <v>#DIV/0!</v>
      </c>
    </row>
    <row r="17" spans="3:5" x14ac:dyDescent="0.3">
      <c r="E17" t="s">
        <v>48</v>
      </c>
    </row>
    <row r="18" spans="3:5" x14ac:dyDescent="0.3">
      <c r="E18" t="s">
        <v>47</v>
      </c>
    </row>
    <row r="21" spans="3:5" x14ac:dyDescent="0.3">
      <c r="C21" t="s">
        <v>46</v>
      </c>
    </row>
  </sheetData>
  <mergeCells count="1">
    <mergeCell ref="G7:H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E7:T39"/>
  <sheetViews>
    <sheetView topLeftCell="E1" workbookViewId="0">
      <selection activeCell="X9" sqref="X9"/>
    </sheetView>
  </sheetViews>
  <sheetFormatPr defaultRowHeight="14.4" x14ac:dyDescent="0.3"/>
  <cols>
    <col min="6" max="7" width="9.33203125" bestFit="1" customWidth="1"/>
    <col min="8" max="8" width="10.5546875" bestFit="1" customWidth="1"/>
    <col min="9" max="9" width="10.6640625" bestFit="1" customWidth="1"/>
    <col min="10" max="10" width="11.6640625" bestFit="1" customWidth="1"/>
    <col min="14" max="15" width="9.33203125" bestFit="1" customWidth="1"/>
    <col min="16" max="17" width="10.5546875" bestFit="1" customWidth="1"/>
    <col min="18" max="18" width="10.88671875" customWidth="1"/>
  </cols>
  <sheetData>
    <row r="7" spans="5:20" x14ac:dyDescent="0.3">
      <c r="F7" s="1" t="s">
        <v>3</v>
      </c>
      <c r="G7" s="1"/>
      <c r="H7" s="1"/>
      <c r="I7" s="2" t="s">
        <v>4</v>
      </c>
      <c r="J7" s="2"/>
    </row>
    <row r="8" spans="5:20" x14ac:dyDescent="0.3">
      <c r="E8" s="28" t="s">
        <v>0</v>
      </c>
      <c r="F8" s="1" t="s">
        <v>7</v>
      </c>
      <c r="G8" s="1" t="s">
        <v>1</v>
      </c>
      <c r="H8" s="1" t="s">
        <v>2</v>
      </c>
      <c r="I8" s="2" t="s">
        <v>5</v>
      </c>
      <c r="J8" s="2" t="s">
        <v>6</v>
      </c>
      <c r="L8" t="s">
        <v>8</v>
      </c>
      <c r="M8" t="s">
        <v>11</v>
      </c>
      <c r="N8" t="s">
        <v>10</v>
      </c>
      <c r="O8" t="s">
        <v>12</v>
      </c>
      <c r="P8" t="s">
        <v>13</v>
      </c>
      <c r="Q8" t="s">
        <v>14</v>
      </c>
      <c r="R8" t="s">
        <v>15</v>
      </c>
      <c r="S8" t="s">
        <v>16</v>
      </c>
      <c r="T8" t="s">
        <v>17</v>
      </c>
    </row>
    <row r="9" spans="5:20" x14ac:dyDescent="0.3">
      <c r="E9" s="28">
        <v>1</v>
      </c>
      <c r="F9" s="1">
        <v>25</v>
      </c>
      <c r="G9" s="1">
        <v>49</v>
      </c>
      <c r="H9" s="1">
        <v>16900</v>
      </c>
      <c r="I9" s="5">
        <v>34616</v>
      </c>
      <c r="J9" s="5">
        <v>138007</v>
      </c>
      <c r="L9" s="4"/>
      <c r="M9" s="3"/>
      <c r="N9" s="3"/>
      <c r="O9" s="3"/>
      <c r="P9" s="3"/>
      <c r="Q9" s="3"/>
      <c r="R9" s="3"/>
      <c r="S9" s="3"/>
      <c r="T9" s="3"/>
    </row>
    <row r="10" spans="5:20" x14ac:dyDescent="0.3">
      <c r="E10" s="28">
        <v>2</v>
      </c>
      <c r="F10" s="1">
        <v>19</v>
      </c>
      <c r="G10" s="1">
        <v>56</v>
      </c>
      <c r="H10" s="1">
        <v>12600</v>
      </c>
      <c r="I10" s="5">
        <v>42521</v>
      </c>
      <c r="J10" s="5">
        <v>149858</v>
      </c>
      <c r="L10" s="3"/>
      <c r="M10" s="3"/>
      <c r="N10" s="3"/>
      <c r="O10" s="3"/>
      <c r="P10" s="3"/>
      <c r="Q10" s="3"/>
      <c r="R10" s="3"/>
      <c r="S10" s="3"/>
      <c r="T10" s="3"/>
    </row>
    <row r="11" spans="5:20" x14ac:dyDescent="0.3">
      <c r="E11" s="28">
        <v>3</v>
      </c>
      <c r="F11" s="1">
        <v>16</v>
      </c>
      <c r="G11" s="1">
        <v>55</v>
      </c>
      <c r="H11" s="1">
        <v>12000</v>
      </c>
      <c r="I11" s="5">
        <v>36923</v>
      </c>
      <c r="J11" s="5">
        <v>143682</v>
      </c>
      <c r="L11" s="3"/>
      <c r="M11" s="3"/>
      <c r="N11" s="3"/>
      <c r="O11" s="3"/>
      <c r="P11" s="3"/>
      <c r="Q11" s="3"/>
      <c r="R11" s="3"/>
      <c r="S11" s="3"/>
      <c r="T11" s="3"/>
    </row>
    <row r="12" spans="5:20" x14ac:dyDescent="0.3">
      <c r="E12" s="28">
        <v>4</v>
      </c>
      <c r="F12" s="1">
        <v>22</v>
      </c>
      <c r="G12" s="1">
        <v>33</v>
      </c>
      <c r="H12" s="1">
        <v>17900</v>
      </c>
      <c r="I12" s="5">
        <v>45121</v>
      </c>
      <c r="J12" s="5">
        <v>121967</v>
      </c>
      <c r="L12" s="3"/>
      <c r="M12" s="3"/>
      <c r="N12" s="3"/>
      <c r="O12" s="3"/>
      <c r="P12" s="3"/>
      <c r="Q12" s="3"/>
      <c r="R12" s="3"/>
      <c r="S12" s="3"/>
      <c r="T12" s="3"/>
    </row>
    <row r="13" spans="5:20" x14ac:dyDescent="0.3">
      <c r="E13" s="28">
        <v>5</v>
      </c>
      <c r="F13" s="1">
        <v>22</v>
      </c>
      <c r="G13" s="1">
        <v>45</v>
      </c>
      <c r="H13" s="1">
        <v>14100</v>
      </c>
      <c r="I13" s="5">
        <v>25086</v>
      </c>
      <c r="J13" s="5">
        <v>44203</v>
      </c>
      <c r="L13" s="3"/>
      <c r="M13" s="3"/>
      <c r="N13" s="3"/>
      <c r="O13" s="3"/>
      <c r="P13" s="3"/>
      <c r="Q13" s="3"/>
      <c r="R13" s="3"/>
      <c r="S13" s="3"/>
      <c r="T13" s="3"/>
    </row>
    <row r="14" spans="5:20" x14ac:dyDescent="0.3">
      <c r="E14" s="28">
        <v>6</v>
      </c>
      <c r="F14" s="1">
        <v>17</v>
      </c>
      <c r="G14" s="1">
        <v>34</v>
      </c>
      <c r="H14" s="1">
        <v>10800</v>
      </c>
      <c r="I14" s="5">
        <v>25784</v>
      </c>
      <c r="J14" s="5">
        <v>42269</v>
      </c>
      <c r="L14" s="3"/>
      <c r="M14" s="3"/>
      <c r="N14" s="3"/>
      <c r="O14" s="3"/>
      <c r="P14" s="3"/>
      <c r="Q14" s="3"/>
      <c r="R14" s="3"/>
      <c r="S14" s="3"/>
      <c r="T14" s="3"/>
    </row>
    <row r="15" spans="5:20" x14ac:dyDescent="0.3">
      <c r="E15" s="28">
        <v>7</v>
      </c>
      <c r="F15" s="1">
        <v>20</v>
      </c>
      <c r="G15" s="1">
        <v>41</v>
      </c>
      <c r="H15" s="1">
        <v>13300</v>
      </c>
      <c r="I15" s="5">
        <v>32396</v>
      </c>
      <c r="J15" s="5">
        <v>43313</v>
      </c>
      <c r="L15" s="3"/>
      <c r="M15" s="3"/>
      <c r="N15" s="3"/>
      <c r="O15" s="3"/>
      <c r="P15" s="3"/>
      <c r="Q15" s="3"/>
      <c r="R15" s="3"/>
      <c r="S15" s="3"/>
      <c r="T15" s="3"/>
    </row>
    <row r="16" spans="5:20" x14ac:dyDescent="0.3">
      <c r="E16" s="28">
        <v>8</v>
      </c>
      <c r="F16" s="1">
        <v>19</v>
      </c>
      <c r="G16" s="1">
        <v>38</v>
      </c>
      <c r="H16" s="1">
        <v>18200</v>
      </c>
      <c r="I16" s="5">
        <v>48903</v>
      </c>
      <c r="J16" s="5">
        <v>128410</v>
      </c>
      <c r="L16" s="3"/>
      <c r="M16" s="3"/>
      <c r="N16" s="3"/>
      <c r="O16" s="3"/>
      <c r="P16" s="3"/>
      <c r="Q16" s="3"/>
      <c r="R16" s="3"/>
      <c r="S16" s="3"/>
      <c r="T16" s="3"/>
    </row>
    <row r="17" spans="5:20" x14ac:dyDescent="0.3">
      <c r="E17" t="s">
        <v>18</v>
      </c>
      <c r="F17" s="7">
        <f>SUMPRODUCT(F9:F16,$M$9:$M$16)</f>
        <v>0</v>
      </c>
      <c r="G17" s="7">
        <f>SUMPRODUCT(G9:G16,$M$9:$M$16)</f>
        <v>0</v>
      </c>
      <c r="H17" s="7">
        <f>SUMPRODUCT(H9:H16,$M$9:$M$16)</f>
        <v>0</v>
      </c>
      <c r="I17" s="7">
        <f>SUMPRODUCT(I9:I16,$M$9:$M$16)</f>
        <v>0</v>
      </c>
      <c r="J17" s="7">
        <f>SUMPRODUCT(J9:J16,$M$9:$M$16)</f>
        <v>0</v>
      </c>
      <c r="L17" s="9">
        <f>SUM(L9:L16)</f>
        <v>0</v>
      </c>
      <c r="M17" s="20">
        <f>SUM(M9:M16)</f>
        <v>0</v>
      </c>
      <c r="N17" s="20">
        <f t="shared" ref="N17:T17" si="0">SUM(N9:N16)</f>
        <v>0</v>
      </c>
      <c r="O17" s="20">
        <f t="shared" si="0"/>
        <v>0</v>
      </c>
      <c r="P17" s="20">
        <f t="shared" si="0"/>
        <v>0</v>
      </c>
      <c r="Q17" s="20">
        <f t="shared" si="0"/>
        <v>0</v>
      </c>
      <c r="R17" s="20">
        <f t="shared" si="0"/>
        <v>0</v>
      </c>
      <c r="S17" s="20">
        <f t="shared" si="0"/>
        <v>0</v>
      </c>
      <c r="T17" s="20">
        <f t="shared" si="0"/>
        <v>0</v>
      </c>
    </row>
    <row r="18" spans="5:20" x14ac:dyDescent="0.3">
      <c r="F18" s="6">
        <f>F9*L9</f>
        <v>0</v>
      </c>
      <c r="G18" s="6">
        <f>G9*L9</f>
        <v>0</v>
      </c>
      <c r="H18" s="6">
        <f>H9*L9</f>
        <v>0</v>
      </c>
      <c r="I18" s="7">
        <f>I9</f>
        <v>34616</v>
      </c>
      <c r="J18" s="7">
        <f>J9</f>
        <v>138007</v>
      </c>
    </row>
    <row r="20" spans="5:20" x14ac:dyDescent="0.3">
      <c r="E20" t="s">
        <v>9</v>
      </c>
      <c r="F20" s="7">
        <f>SUMPRODUCT(F9:F16,$N$9:$N$16)</f>
        <v>0</v>
      </c>
      <c r="G20" s="7">
        <f>SUMPRODUCT(G9:G16,$N$9:$N$16)</f>
        <v>0</v>
      </c>
      <c r="H20" s="7">
        <f>SUMPRODUCT(H9:H16,$N$9:$N$16)</f>
        <v>0</v>
      </c>
      <c r="I20" s="7">
        <f>SUMPRODUCT(I9:I16,$N$9:$N$16)</f>
        <v>0</v>
      </c>
      <c r="J20" s="7">
        <f>SUMPRODUCT(J9:J16,$N$9:$N$16)</f>
        <v>0</v>
      </c>
    </row>
    <row r="21" spans="5:20" x14ac:dyDescent="0.3">
      <c r="F21" s="6">
        <f>F10*$L$10</f>
        <v>0</v>
      </c>
      <c r="G21" s="6">
        <f>G10*$L$10</f>
        <v>0</v>
      </c>
      <c r="H21" s="6">
        <f>H10*$L$10</f>
        <v>0</v>
      </c>
      <c r="I21" s="8">
        <f>I10</f>
        <v>42521</v>
      </c>
      <c r="J21" s="8">
        <f>J10</f>
        <v>149858</v>
      </c>
      <c r="N21" s="33" t="s">
        <v>43</v>
      </c>
      <c r="O21" s="33"/>
      <c r="P21" s="33"/>
      <c r="Q21" s="33" t="s">
        <v>44</v>
      </c>
      <c r="R21" s="33"/>
    </row>
    <row r="22" spans="5:20" x14ac:dyDescent="0.3">
      <c r="N22" s="29" t="s">
        <v>7</v>
      </c>
      <c r="O22" s="29" t="s">
        <v>1</v>
      </c>
      <c r="P22" s="29" t="s">
        <v>2</v>
      </c>
      <c r="Q22" s="30" t="s">
        <v>5</v>
      </c>
      <c r="R22" s="30" t="s">
        <v>6</v>
      </c>
    </row>
    <row r="23" spans="5:20" x14ac:dyDescent="0.3">
      <c r="E23" t="s">
        <v>19</v>
      </c>
      <c r="F23" s="7">
        <f>SUMPRODUCT(F9:F16,$O$9:$O$16)</f>
        <v>0</v>
      </c>
      <c r="G23" s="7">
        <f>SUMPRODUCT(G9:G16,$O$9:$O$16)</f>
        <v>0</v>
      </c>
      <c r="H23" s="7">
        <f>SUMPRODUCT(H9:H16,$O$9:$O$16)</f>
        <v>0</v>
      </c>
      <c r="I23" s="7">
        <f>SUMPRODUCT(I9:I16,$O$9:$O$16)</f>
        <v>0</v>
      </c>
      <c r="J23" s="7">
        <f>SUMPRODUCT(J9:J16,$O$9:$O$16)</f>
        <v>0</v>
      </c>
      <c r="M23" t="s">
        <v>25</v>
      </c>
      <c r="N23" s="7">
        <f>SUMPRODUCT(F9:F16,Q9:Q16)-F13</f>
        <v>-22</v>
      </c>
      <c r="O23" s="7">
        <f>SUMPRODUCT(G9:G16,Q9:Q16)-G13</f>
        <v>-45</v>
      </c>
      <c r="P23" s="7">
        <f>SUMPRODUCT(H9:H16,Q9:Q16)-H13</f>
        <v>-14100</v>
      </c>
      <c r="Q23" s="7" t="e">
        <f>1/$L$13*I13-I13</f>
        <v>#DIV/0!</v>
      </c>
      <c r="R23" s="7" t="e">
        <f>1/$L$13*J13-J13</f>
        <v>#DIV/0!</v>
      </c>
    </row>
    <row r="24" spans="5:20" x14ac:dyDescent="0.3">
      <c r="F24" s="6">
        <f>F11*$L$11</f>
        <v>0</v>
      </c>
      <c r="G24" s="6">
        <f>G11*$L$11</f>
        <v>0</v>
      </c>
      <c r="H24" s="6">
        <f>H11*$L$11</f>
        <v>0</v>
      </c>
      <c r="I24" s="8">
        <f>I11</f>
        <v>36923</v>
      </c>
      <c r="J24" s="8">
        <f>J11</f>
        <v>143682</v>
      </c>
      <c r="M24" t="s">
        <v>28</v>
      </c>
      <c r="N24" s="7">
        <f>SUMPRODUCT(F9:F16,S9:S16)-F15</f>
        <v>-20</v>
      </c>
      <c r="O24" s="7">
        <f>SUMPRODUCT(G9:G16,S9:S16)-G15</f>
        <v>-41</v>
      </c>
      <c r="P24" s="7">
        <f>SUMPRODUCT(H9:H16,S9:S16)-H15</f>
        <v>-13300</v>
      </c>
      <c r="Q24" s="7" t="e">
        <f>1/$L$15*I15-I15</f>
        <v>#DIV/0!</v>
      </c>
      <c r="R24" s="7" t="e">
        <f>1/$L$15*J15-J15</f>
        <v>#DIV/0!</v>
      </c>
    </row>
    <row r="26" spans="5:20" x14ac:dyDescent="0.3">
      <c r="E26" t="s">
        <v>20</v>
      </c>
      <c r="F26" s="7">
        <f>SUMPRODUCT(F9:F16,$P$9:$P$16)</f>
        <v>0</v>
      </c>
      <c r="G26" s="7">
        <f>SUMPRODUCT(G9:G16,$P$9:$P$16)</f>
        <v>0</v>
      </c>
      <c r="H26" s="7">
        <f>SUMPRODUCT(H9:H16,$P$9:$P$16)</f>
        <v>0</v>
      </c>
      <c r="I26" s="7">
        <f>SUMPRODUCT(I9:I16,$P$9:$P$16)</f>
        <v>0</v>
      </c>
      <c r="J26" s="7">
        <f>SUMPRODUCT(J9:J16,$P$9:$P$16)</f>
        <v>0</v>
      </c>
    </row>
    <row r="27" spans="5:20" x14ac:dyDescent="0.3">
      <c r="F27" s="6">
        <f>F12*$L$12</f>
        <v>0</v>
      </c>
      <c r="G27" s="6">
        <f>G12*$L$12</f>
        <v>0</v>
      </c>
      <c r="H27" s="6">
        <f>H12*$L$12</f>
        <v>0</v>
      </c>
      <c r="I27" s="8">
        <f>I12</f>
        <v>45121</v>
      </c>
      <c r="J27" s="8">
        <f>J12</f>
        <v>121967</v>
      </c>
    </row>
    <row r="29" spans="5:20" x14ac:dyDescent="0.3">
      <c r="E29" t="s">
        <v>21</v>
      </c>
      <c r="F29" s="7">
        <f>SUMPRODUCT(F9:F16,$Q$9:$Q$16)</f>
        <v>0</v>
      </c>
      <c r="G29" s="7">
        <f>SUMPRODUCT(G9:G16,$Q$9:$Q$16)</f>
        <v>0</v>
      </c>
      <c r="H29" s="7">
        <f>SUMPRODUCT(H9:H16,$Q$9:$Q$16)</f>
        <v>0</v>
      </c>
      <c r="I29" s="7">
        <f>SUMPRODUCT(I9:I16,$Q$9:$Q$16)</f>
        <v>0</v>
      </c>
      <c r="J29" s="7">
        <f>SUMPRODUCT(J9:J16,$Q$9:$Q$16)</f>
        <v>0</v>
      </c>
    </row>
    <row r="30" spans="5:20" x14ac:dyDescent="0.3">
      <c r="F30" s="6">
        <f>F13*$L$13</f>
        <v>0</v>
      </c>
      <c r="G30" s="6">
        <f>G13*$L$13</f>
        <v>0</v>
      </c>
      <c r="H30" s="6">
        <f>H13*$L$13</f>
        <v>0</v>
      </c>
      <c r="I30" s="8">
        <f>I13</f>
        <v>25086</v>
      </c>
      <c r="J30" s="8">
        <f>J13</f>
        <v>44203</v>
      </c>
    </row>
    <row r="32" spans="5:20" x14ac:dyDescent="0.3">
      <c r="E32" t="s">
        <v>22</v>
      </c>
      <c r="F32" s="7">
        <f>SUMPRODUCT(F9:F16,$R$9:$R$16)</f>
        <v>0</v>
      </c>
      <c r="G32" s="7">
        <f>SUMPRODUCT(G9:G16,$R$9:$R$16)</f>
        <v>0</v>
      </c>
      <c r="H32" s="7">
        <f>SUMPRODUCT(H9:H16,$R$9:$R$16)</f>
        <v>0</v>
      </c>
      <c r="I32" s="7">
        <f>SUMPRODUCT(I9:I16,$R$9:$R$16)</f>
        <v>0</v>
      </c>
      <c r="J32" s="7">
        <f>SUMPRODUCT(J9:J16,$R$9:$R$16)</f>
        <v>0</v>
      </c>
    </row>
    <row r="33" spans="5:10" x14ac:dyDescent="0.3">
      <c r="F33" s="6">
        <f>F14*$L$14</f>
        <v>0</v>
      </c>
      <c r="G33" s="6">
        <f>G14*$L$14</f>
        <v>0</v>
      </c>
      <c r="H33" s="6">
        <f>H14*$L$14</f>
        <v>0</v>
      </c>
      <c r="I33" s="8">
        <f>I14</f>
        <v>25784</v>
      </c>
      <c r="J33" s="8">
        <f>J14</f>
        <v>42269</v>
      </c>
    </row>
    <row r="35" spans="5:10" x14ac:dyDescent="0.3">
      <c r="E35" t="s">
        <v>23</v>
      </c>
      <c r="F35" s="7">
        <f>SUMPRODUCT(F9:F16,$S$9:$S$16)</f>
        <v>0</v>
      </c>
      <c r="G35" s="7">
        <f>SUMPRODUCT(G9:G16,$S$9:$S$16)</f>
        <v>0</v>
      </c>
      <c r="H35" s="7">
        <f>SUMPRODUCT(H9:H16,$S$9:$S$16)</f>
        <v>0</v>
      </c>
      <c r="I35" s="7">
        <f>SUMPRODUCT(I9:I16,$S$9:$S$16)</f>
        <v>0</v>
      </c>
      <c r="J35" s="7">
        <f>SUMPRODUCT(J9:J16,$S$9:$S$16)</f>
        <v>0</v>
      </c>
    </row>
    <row r="36" spans="5:10" x14ac:dyDescent="0.3">
      <c r="F36" s="6">
        <f>F15*$L$15</f>
        <v>0</v>
      </c>
      <c r="G36" s="6">
        <f>G15*$L$15</f>
        <v>0</v>
      </c>
      <c r="H36" s="6">
        <f>H15*$L$15</f>
        <v>0</v>
      </c>
      <c r="I36" s="8">
        <f>I15</f>
        <v>32396</v>
      </c>
      <c r="J36" s="8">
        <f>J15</f>
        <v>43313</v>
      </c>
    </row>
    <row r="38" spans="5:10" x14ac:dyDescent="0.3">
      <c r="E38" t="s">
        <v>24</v>
      </c>
      <c r="F38" s="7">
        <f>SUMPRODUCT(F9:F16,$T$9:$T$16)</f>
        <v>0</v>
      </c>
      <c r="G38" s="7">
        <f>SUMPRODUCT(G9:G16,$T$9:$T$16)</f>
        <v>0</v>
      </c>
      <c r="H38" s="7">
        <f>SUMPRODUCT(H9:H16,$T$9:$T$16)</f>
        <v>0</v>
      </c>
      <c r="I38" s="7">
        <f>SUMPRODUCT(I9:I16,$T$9:$T$16)</f>
        <v>0</v>
      </c>
      <c r="J38" s="7">
        <f>SUMPRODUCT(J9:J16,$T$9:$T$16)</f>
        <v>0</v>
      </c>
    </row>
    <row r="39" spans="5:10" x14ac:dyDescent="0.3">
      <c r="F39" s="6">
        <f>F16*$L$16</f>
        <v>0</v>
      </c>
      <c r="G39" s="6">
        <f>G16*$L$16</f>
        <v>0</v>
      </c>
      <c r="H39" s="6">
        <f>H16*$L$16</f>
        <v>0</v>
      </c>
      <c r="I39" s="8">
        <f>I16</f>
        <v>48903</v>
      </c>
      <c r="J39" s="8">
        <f>J16</f>
        <v>128410</v>
      </c>
    </row>
  </sheetData>
  <mergeCells count="2">
    <mergeCell ref="N21:P21"/>
    <mergeCell ref="Q21:R2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E7:T39"/>
  <sheetViews>
    <sheetView topLeftCell="G4" workbookViewId="0">
      <selection activeCell="V8" sqref="L8:V16"/>
    </sheetView>
  </sheetViews>
  <sheetFormatPr defaultRowHeight="14.4" x14ac:dyDescent="0.3"/>
  <cols>
    <col min="6" max="7" width="9.33203125" bestFit="1" customWidth="1"/>
    <col min="8" max="8" width="10.5546875" bestFit="1" customWidth="1"/>
    <col min="9" max="9" width="10.6640625" bestFit="1" customWidth="1"/>
    <col min="10" max="10" width="11.6640625" bestFit="1" customWidth="1"/>
    <col min="14" max="15" width="9.33203125" bestFit="1" customWidth="1"/>
    <col min="16" max="17" width="10.5546875" bestFit="1" customWidth="1"/>
    <col min="18" max="18" width="10.88671875" customWidth="1"/>
  </cols>
  <sheetData>
    <row r="7" spans="5:20" ht="15" thickBot="1" x14ac:dyDescent="0.35">
      <c r="F7" s="1" t="s">
        <v>3</v>
      </c>
      <c r="G7" s="1"/>
      <c r="H7" s="1"/>
      <c r="I7" s="2" t="s">
        <v>4</v>
      </c>
      <c r="J7" s="2"/>
    </row>
    <row r="8" spans="5:20" ht="15" thickBot="1" x14ac:dyDescent="0.35">
      <c r="E8" s="25" t="s">
        <v>0</v>
      </c>
      <c r="F8" s="22" t="s">
        <v>7</v>
      </c>
      <c r="G8" s="1" t="s">
        <v>1</v>
      </c>
      <c r="H8" s="1" t="s">
        <v>2</v>
      </c>
      <c r="I8" s="2" t="s">
        <v>5</v>
      </c>
      <c r="J8" s="2" t="s">
        <v>6</v>
      </c>
      <c r="Q8" s="10"/>
    </row>
    <row r="9" spans="5:20" x14ac:dyDescent="0.3">
      <c r="E9" s="23">
        <v>1</v>
      </c>
      <c r="F9" s="22">
        <v>25</v>
      </c>
      <c r="G9" s="1">
        <v>49</v>
      </c>
      <c r="H9" s="1">
        <v>16900</v>
      </c>
      <c r="I9" s="5">
        <v>34616</v>
      </c>
      <c r="J9" s="5">
        <v>138007</v>
      </c>
      <c r="L9" s="4"/>
      <c r="M9" s="3"/>
      <c r="N9" s="3"/>
      <c r="O9" s="3"/>
      <c r="P9" s="3"/>
      <c r="Q9" s="11"/>
      <c r="R9" s="3"/>
      <c r="S9" s="3"/>
      <c r="T9" s="3"/>
    </row>
    <row r="10" spans="5:20" x14ac:dyDescent="0.3">
      <c r="E10" s="23">
        <v>2</v>
      </c>
      <c r="F10" s="22">
        <v>19</v>
      </c>
      <c r="G10" s="1">
        <v>56</v>
      </c>
      <c r="H10" s="1">
        <v>12600</v>
      </c>
      <c r="I10" s="5">
        <v>42521</v>
      </c>
      <c r="J10" s="5">
        <v>149858</v>
      </c>
      <c r="L10" s="3"/>
      <c r="M10" s="3"/>
      <c r="N10" s="3"/>
      <c r="O10" s="3"/>
      <c r="P10" s="3"/>
      <c r="Q10" s="11"/>
      <c r="R10" s="3"/>
      <c r="S10" s="3"/>
      <c r="T10" s="3"/>
    </row>
    <row r="11" spans="5:20" x14ac:dyDescent="0.3">
      <c r="E11" s="23">
        <v>3</v>
      </c>
      <c r="F11" s="22">
        <v>16</v>
      </c>
      <c r="G11" s="1">
        <v>55</v>
      </c>
      <c r="H11" s="1">
        <v>12000</v>
      </c>
      <c r="I11" s="5">
        <v>36923</v>
      </c>
      <c r="J11" s="5">
        <v>143682</v>
      </c>
      <c r="L11" s="3"/>
      <c r="M11" s="3"/>
      <c r="N11" s="3"/>
      <c r="O11" s="3"/>
      <c r="P11" s="3"/>
      <c r="Q11" s="11"/>
      <c r="R11" s="3"/>
      <c r="S11" s="3"/>
      <c r="T11" s="3"/>
    </row>
    <row r="12" spans="5:20" x14ac:dyDescent="0.3">
      <c r="E12" s="23">
        <v>4</v>
      </c>
      <c r="F12" s="22">
        <v>22</v>
      </c>
      <c r="G12" s="1">
        <v>33</v>
      </c>
      <c r="H12" s="1">
        <v>17900</v>
      </c>
      <c r="I12" s="5">
        <v>45121</v>
      </c>
      <c r="J12" s="5">
        <v>121967</v>
      </c>
      <c r="L12" s="3"/>
      <c r="M12" s="3"/>
      <c r="N12" s="3"/>
      <c r="O12" s="3"/>
      <c r="P12" s="3"/>
      <c r="Q12" s="11"/>
      <c r="R12" s="3"/>
      <c r="S12" s="3"/>
      <c r="T12" s="3"/>
    </row>
    <row r="13" spans="5:20" x14ac:dyDescent="0.3">
      <c r="E13" s="23">
        <v>5</v>
      </c>
      <c r="F13" s="22">
        <v>22</v>
      </c>
      <c r="G13" s="1">
        <v>45</v>
      </c>
      <c r="H13" s="1">
        <v>14100</v>
      </c>
      <c r="I13" s="5">
        <v>25086</v>
      </c>
      <c r="J13" s="5">
        <v>44203</v>
      </c>
      <c r="L13" s="11"/>
      <c r="M13" s="3"/>
      <c r="N13" s="3"/>
      <c r="O13" s="3"/>
      <c r="P13" s="3"/>
      <c r="Q13" s="11"/>
      <c r="R13" s="3"/>
      <c r="S13" s="3"/>
      <c r="T13" s="3"/>
    </row>
    <row r="14" spans="5:20" x14ac:dyDescent="0.3">
      <c r="E14" s="23">
        <v>6</v>
      </c>
      <c r="F14" s="22">
        <v>17</v>
      </c>
      <c r="G14" s="1">
        <v>34</v>
      </c>
      <c r="H14" s="1">
        <v>10800</v>
      </c>
      <c r="I14" s="5">
        <v>25784</v>
      </c>
      <c r="J14" s="5">
        <v>42269</v>
      </c>
      <c r="L14" s="3"/>
      <c r="M14" s="3"/>
      <c r="N14" s="3"/>
      <c r="O14" s="3"/>
      <c r="P14" s="3"/>
      <c r="Q14" s="11"/>
      <c r="R14" s="3"/>
      <c r="S14" s="3"/>
      <c r="T14" s="3"/>
    </row>
    <row r="15" spans="5:20" x14ac:dyDescent="0.3">
      <c r="E15" s="23">
        <v>7</v>
      </c>
      <c r="F15" s="22">
        <v>20</v>
      </c>
      <c r="G15" s="1">
        <v>41</v>
      </c>
      <c r="H15" s="1">
        <v>13300</v>
      </c>
      <c r="I15" s="5">
        <v>32396</v>
      </c>
      <c r="J15" s="5">
        <v>43313</v>
      </c>
      <c r="L15" s="3"/>
      <c r="M15" s="3"/>
      <c r="N15" s="3"/>
      <c r="O15" s="3"/>
      <c r="P15" s="3"/>
      <c r="Q15" s="11"/>
      <c r="R15" s="3"/>
      <c r="S15" s="3"/>
      <c r="T15" s="3"/>
    </row>
    <row r="16" spans="5:20" ht="15" thickBot="1" x14ac:dyDescent="0.35">
      <c r="E16" s="24">
        <v>8</v>
      </c>
      <c r="F16" s="22">
        <v>19</v>
      </c>
      <c r="G16" s="1">
        <v>38</v>
      </c>
      <c r="H16" s="1">
        <v>18200</v>
      </c>
      <c r="I16" s="5">
        <v>48903</v>
      </c>
      <c r="J16" s="5">
        <v>128410</v>
      </c>
      <c r="L16" s="3"/>
      <c r="M16" s="3"/>
      <c r="N16" s="3"/>
      <c r="O16" s="3"/>
      <c r="P16" s="3"/>
      <c r="Q16" s="11"/>
      <c r="R16" s="3"/>
      <c r="S16" s="3"/>
      <c r="T16" s="3"/>
    </row>
    <row r="17" spans="5:20" x14ac:dyDescent="0.3">
      <c r="E17" t="s">
        <v>18</v>
      </c>
      <c r="F17" s="7">
        <f>SUMPRODUCT(F9:F16,$M$9:$M$16)</f>
        <v>0</v>
      </c>
      <c r="G17" s="7">
        <f>SUMPRODUCT(G9:G16,$M$9:$M$16)</f>
        <v>0</v>
      </c>
      <c r="H17" s="7">
        <f>SUMPRODUCT(H9:H16,$M$9:$M$16)</f>
        <v>0</v>
      </c>
      <c r="I17" s="7">
        <f>SUMPRODUCT(I9:I16,$M$9:$M$16)</f>
        <v>0</v>
      </c>
      <c r="J17" s="7">
        <f>SUMPRODUCT(J9:J16,$M$9:$M$16)</f>
        <v>0</v>
      </c>
      <c r="L17" s="9">
        <f>SUM(L9:L16)</f>
        <v>0</v>
      </c>
      <c r="M17" s="20">
        <f>SUM(M9:M16)</f>
        <v>0</v>
      </c>
      <c r="N17" s="20">
        <f t="shared" ref="N17:T17" si="0">SUM(N9:N16)</f>
        <v>0</v>
      </c>
      <c r="O17" s="20">
        <f t="shared" si="0"/>
        <v>0</v>
      </c>
      <c r="P17" s="20">
        <f t="shared" si="0"/>
        <v>0</v>
      </c>
      <c r="Q17" s="20">
        <f t="shared" si="0"/>
        <v>0</v>
      </c>
      <c r="R17" s="20">
        <f t="shared" si="0"/>
        <v>0</v>
      </c>
      <c r="S17" s="20">
        <f t="shared" si="0"/>
        <v>0</v>
      </c>
      <c r="T17" s="20">
        <f t="shared" si="0"/>
        <v>0</v>
      </c>
    </row>
    <row r="18" spans="5:20" x14ac:dyDescent="0.3">
      <c r="F18" s="6">
        <f>F9*L9</f>
        <v>0</v>
      </c>
      <c r="G18" s="6">
        <f>G9*L9</f>
        <v>0</v>
      </c>
      <c r="H18" s="6">
        <f>H9*L9</f>
        <v>0</v>
      </c>
      <c r="I18" s="7">
        <f>I9</f>
        <v>34616</v>
      </c>
      <c r="J18" s="7">
        <f>J9</f>
        <v>138007</v>
      </c>
      <c r="M18" t="s">
        <v>29</v>
      </c>
    </row>
    <row r="19" spans="5:20" x14ac:dyDescent="0.3">
      <c r="M19" t="s">
        <v>45</v>
      </c>
    </row>
    <row r="20" spans="5:20" x14ac:dyDescent="0.3">
      <c r="E20" t="s">
        <v>9</v>
      </c>
      <c r="F20" s="7">
        <f>SUMPRODUCT(F9:F16,$N$9:$N$16)</f>
        <v>0</v>
      </c>
      <c r="G20" s="7">
        <f>SUMPRODUCT(G9:G16,$N$9:$N$16)</f>
        <v>0</v>
      </c>
      <c r="H20" s="7">
        <f>SUMPRODUCT(H9:H16,$N$9:$N$16)</f>
        <v>0</v>
      </c>
      <c r="I20" s="7">
        <f>SUMPRODUCT(I9:I16,$N$9:$N$16)</f>
        <v>0</v>
      </c>
      <c r="J20" s="7">
        <f>SUMPRODUCT(J9:J16,$N$9:$N$16)</f>
        <v>0</v>
      </c>
      <c r="M20" t="s">
        <v>30</v>
      </c>
    </row>
    <row r="21" spans="5:20" x14ac:dyDescent="0.3">
      <c r="F21" s="6">
        <f>F10*$L$10</f>
        <v>0</v>
      </c>
      <c r="G21" s="6">
        <f>G10*$L$10</f>
        <v>0</v>
      </c>
      <c r="H21" s="6">
        <f>H10*$L$10</f>
        <v>0</v>
      </c>
      <c r="I21" s="8">
        <f>I10</f>
        <v>42521</v>
      </c>
      <c r="J21" s="8">
        <f>J10</f>
        <v>149858</v>
      </c>
      <c r="N21" t="s">
        <v>26</v>
      </c>
      <c r="Q21" t="s">
        <v>27</v>
      </c>
    </row>
    <row r="23" spans="5:20" x14ac:dyDescent="0.3">
      <c r="E23" t="s">
        <v>19</v>
      </c>
      <c r="F23" s="7">
        <f>SUMPRODUCT(F9:F16,$O$9:$O$16)</f>
        <v>0</v>
      </c>
      <c r="G23" s="7">
        <f>SUMPRODUCT(G9:G16,$O$9:$O$16)</f>
        <v>0</v>
      </c>
      <c r="H23" s="7">
        <f>SUMPRODUCT(H9:H16,$O$9:$O$16)</f>
        <v>0</v>
      </c>
      <c r="I23" s="7">
        <f>SUMPRODUCT(I9:I16,$O$9:$O$16)</f>
        <v>0</v>
      </c>
      <c r="J23" s="7">
        <f>SUMPRODUCT(J9:J16,$O$9:$O$16)</f>
        <v>0</v>
      </c>
      <c r="M23" t="s">
        <v>25</v>
      </c>
      <c r="N23" s="7">
        <f>SUMPRODUCT(F9:F16,Q9:Q16)-F13</f>
        <v>-22</v>
      </c>
      <c r="O23" s="7">
        <f>SUMPRODUCT(G9:G16,Q9:Q16)-G13</f>
        <v>-45</v>
      </c>
      <c r="P23" s="7">
        <f>SUMPRODUCT(H9:H16,Q9:Q16)-H13</f>
        <v>-14100</v>
      </c>
      <c r="Q23" s="7" t="e">
        <f>1/$L$13*I13-I13</f>
        <v>#DIV/0!</v>
      </c>
      <c r="R23" s="7" t="e">
        <f>1/$L$13*J13-J13</f>
        <v>#DIV/0!</v>
      </c>
    </row>
    <row r="24" spans="5:20" x14ac:dyDescent="0.3">
      <c r="F24" s="6">
        <f>F11*$L$11</f>
        <v>0</v>
      </c>
      <c r="G24" s="6">
        <f>G11*$L$11</f>
        <v>0</v>
      </c>
      <c r="H24" s="6">
        <f>H11*$L$11</f>
        <v>0</v>
      </c>
      <c r="I24" s="8">
        <f>I11</f>
        <v>36923</v>
      </c>
      <c r="J24" s="8">
        <f>J11</f>
        <v>143682</v>
      </c>
      <c r="M24" t="s">
        <v>28</v>
      </c>
      <c r="N24" s="7">
        <f>SUMPRODUCT(F9:F16,S9:S16)-F15</f>
        <v>-20</v>
      </c>
      <c r="O24" s="7">
        <f>SUMPRODUCT(G9:G16,T9:T16)-G15</f>
        <v>-41</v>
      </c>
      <c r="P24" s="7">
        <f>SUMPRODUCT(H9:H16,U9:U16)-H15</f>
        <v>-13300</v>
      </c>
      <c r="Q24" s="7" t="e">
        <f>1/$L$15*I15-I15</f>
        <v>#DIV/0!</v>
      </c>
      <c r="R24" s="7" t="e">
        <f>1/$L$15*J15-J15</f>
        <v>#DIV/0!</v>
      </c>
    </row>
    <row r="26" spans="5:20" x14ac:dyDescent="0.3">
      <c r="E26" t="s">
        <v>20</v>
      </c>
      <c r="F26" s="7">
        <f>SUMPRODUCT(F9:F16,$P$9:$P$16)</f>
        <v>0</v>
      </c>
      <c r="G26" s="7">
        <f>SUMPRODUCT(G9:G16,$P$9:$P$16)</f>
        <v>0</v>
      </c>
      <c r="H26" s="7">
        <f>SUMPRODUCT(H9:H16,$P$9:$P$16)</f>
        <v>0</v>
      </c>
      <c r="I26" s="7">
        <f>SUMPRODUCT(I9:I16,$P$9:$P$16)</f>
        <v>0</v>
      </c>
      <c r="J26" s="7">
        <f>SUMPRODUCT(J9:J16,$P$9:$P$16)</f>
        <v>0</v>
      </c>
    </row>
    <row r="27" spans="5:20" x14ac:dyDescent="0.3">
      <c r="F27" s="6">
        <f>F12*$L$12</f>
        <v>0</v>
      </c>
      <c r="G27" s="6">
        <f>G12*$L$12</f>
        <v>0</v>
      </c>
      <c r="H27" s="6">
        <f>H12*$L$12</f>
        <v>0</v>
      </c>
      <c r="I27" s="8">
        <f>I12</f>
        <v>45121</v>
      </c>
      <c r="J27" s="8">
        <f>J12</f>
        <v>121967</v>
      </c>
    </row>
    <row r="28" spans="5:20" ht="15" thickBot="1" x14ac:dyDescent="0.35"/>
    <row r="29" spans="5:20" x14ac:dyDescent="0.3">
      <c r="E29" s="10" t="s">
        <v>21</v>
      </c>
      <c r="F29" s="12">
        <f>SUMPRODUCT(F9:F16,$Q$9:$Q$16)</f>
        <v>0</v>
      </c>
      <c r="G29" s="13">
        <f>SUMPRODUCT(G9:G16,$Q$9:$Q$16)</f>
        <v>0</v>
      </c>
      <c r="H29" s="14">
        <f>SUMPRODUCT(H9:H16,$Q$9:$Q$16)</f>
        <v>0</v>
      </c>
      <c r="I29" s="12">
        <f>SUMPRODUCT(I9:I16,$Q$9:$Q$16)</f>
        <v>0</v>
      </c>
      <c r="J29" s="14">
        <f>SUMPRODUCT(J9:J16,$Q$9:$Q$16)</f>
        <v>0</v>
      </c>
    </row>
    <row r="30" spans="5:20" ht="15" thickBot="1" x14ac:dyDescent="0.35">
      <c r="E30" s="10"/>
      <c r="F30" s="15">
        <f>F13*$L$13</f>
        <v>0</v>
      </c>
      <c r="G30" s="16">
        <f>G13*$L$13</f>
        <v>0</v>
      </c>
      <c r="H30" s="17">
        <f>H13*$L$13</f>
        <v>0</v>
      </c>
      <c r="I30" s="18">
        <f>I13</f>
        <v>25086</v>
      </c>
      <c r="J30" s="19">
        <f>J13</f>
        <v>44203</v>
      </c>
    </row>
    <row r="32" spans="5:20" x14ac:dyDescent="0.3">
      <c r="E32" t="s">
        <v>22</v>
      </c>
      <c r="F32" s="7">
        <f>SUMPRODUCT(F9:F16,$R$9:$R$16)</f>
        <v>0</v>
      </c>
      <c r="G32" s="7">
        <f>SUMPRODUCT(G9:G16,$R$9:$R$16)</f>
        <v>0</v>
      </c>
      <c r="H32" s="7">
        <f>SUMPRODUCT(H9:H16,$R$9:$R$16)</f>
        <v>0</v>
      </c>
      <c r="I32" s="7">
        <f>SUMPRODUCT(I9:I16,$R$9:$R$16)</f>
        <v>0</v>
      </c>
      <c r="J32" s="7">
        <f>SUMPRODUCT(J9:J16,$R$9:$R$16)</f>
        <v>0</v>
      </c>
    </row>
    <row r="33" spans="5:10" x14ac:dyDescent="0.3">
      <c r="F33" s="6">
        <f>F14*$L$14</f>
        <v>0</v>
      </c>
      <c r="G33" s="6">
        <f>G14*$L$14</f>
        <v>0</v>
      </c>
      <c r="H33" s="6">
        <f>H14*$L$14</f>
        <v>0</v>
      </c>
      <c r="I33" s="8">
        <f>I14</f>
        <v>25784</v>
      </c>
      <c r="J33" s="8">
        <f>J14</f>
        <v>42269</v>
      </c>
    </row>
    <row r="35" spans="5:10" x14ac:dyDescent="0.3">
      <c r="E35" t="s">
        <v>23</v>
      </c>
      <c r="F35" s="7">
        <f>SUMPRODUCT(F9:F16,$S$9:$S$16)</f>
        <v>0</v>
      </c>
      <c r="G35" s="7">
        <f>SUMPRODUCT(G9:G16,$S$9:$S$16)</f>
        <v>0</v>
      </c>
      <c r="H35" s="7">
        <f>SUMPRODUCT(H9:H16,$S$9:$S$16)</f>
        <v>0</v>
      </c>
      <c r="I35" s="7">
        <f>SUMPRODUCT(I9:I16,$S$9:$S$16)</f>
        <v>0</v>
      </c>
      <c r="J35" s="7">
        <f>SUMPRODUCT(J9:J16,$S$9:$S$16)</f>
        <v>0</v>
      </c>
    </row>
    <row r="36" spans="5:10" x14ac:dyDescent="0.3">
      <c r="F36" s="6">
        <f>F15*$L$15</f>
        <v>0</v>
      </c>
      <c r="G36" s="6">
        <f>G15*$L$15</f>
        <v>0</v>
      </c>
      <c r="H36" s="6">
        <f>H15*$L$15</f>
        <v>0</v>
      </c>
      <c r="I36" s="8">
        <f>I15</f>
        <v>32396</v>
      </c>
      <c r="J36" s="8">
        <f>J15</f>
        <v>43313</v>
      </c>
    </row>
    <row r="38" spans="5:10" x14ac:dyDescent="0.3">
      <c r="E38" t="s">
        <v>24</v>
      </c>
      <c r="F38" s="7">
        <f>SUMPRODUCT(F9:F16,$T$9:$T$16)</f>
        <v>0</v>
      </c>
      <c r="G38" s="7">
        <f>SUMPRODUCT(G9:G16,$T$9:$T$16)</f>
        <v>0</v>
      </c>
      <c r="H38" s="7">
        <f>SUMPRODUCT(H9:H16,$T$9:$T$16)</f>
        <v>0</v>
      </c>
      <c r="I38" s="7">
        <f>SUMPRODUCT(I9:I16,$T$9:$T$16)</f>
        <v>0</v>
      </c>
      <c r="J38" s="7">
        <f>SUMPRODUCT(J9:J16,$T$9:$T$16)</f>
        <v>0</v>
      </c>
    </row>
    <row r="39" spans="5:10" x14ac:dyDescent="0.3">
      <c r="F39" s="6">
        <f>F16*$L$16</f>
        <v>0</v>
      </c>
      <c r="G39" s="6">
        <f>G16*$L$16</f>
        <v>0</v>
      </c>
      <c r="H39" s="6">
        <f>H16*$L$16</f>
        <v>0</v>
      </c>
      <c r="I39" s="8">
        <f>I16</f>
        <v>48903</v>
      </c>
      <c r="J39" s="8">
        <f>J16</f>
        <v>128410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E4:L18"/>
  <sheetViews>
    <sheetView workbookViewId="0">
      <selection activeCell="L17" sqref="L17"/>
    </sheetView>
  </sheetViews>
  <sheetFormatPr defaultRowHeight="14.4" x14ac:dyDescent="0.3"/>
  <cols>
    <col min="6" max="7" width="9.33203125" bestFit="1" customWidth="1"/>
    <col min="8" max="8" width="10.5546875" bestFit="1" customWidth="1"/>
    <col min="9" max="9" width="10.6640625" bestFit="1" customWidth="1"/>
    <col min="10" max="10" width="11.6640625" bestFit="1" customWidth="1"/>
  </cols>
  <sheetData>
    <row r="4" spans="5:12" x14ac:dyDescent="0.3">
      <c r="G4" t="s">
        <v>31</v>
      </c>
      <c r="H4" s="21">
        <v>0.68201400000000001</v>
      </c>
    </row>
    <row r="7" spans="5:12" x14ac:dyDescent="0.3">
      <c r="F7" s="1" t="s">
        <v>3</v>
      </c>
      <c r="G7" s="1"/>
      <c r="H7" s="1"/>
      <c r="I7" s="2" t="s">
        <v>4</v>
      </c>
      <c r="J7" s="2"/>
    </row>
    <row r="8" spans="5:12" x14ac:dyDescent="0.3">
      <c r="E8" t="s">
        <v>0</v>
      </c>
      <c r="F8" s="1" t="s">
        <v>7</v>
      </c>
      <c r="G8" s="1" t="s">
        <v>1</v>
      </c>
      <c r="H8" s="1" t="s">
        <v>2</v>
      </c>
      <c r="I8" s="2" t="s">
        <v>5</v>
      </c>
      <c r="J8" s="2" t="s">
        <v>6</v>
      </c>
      <c r="L8" t="s">
        <v>32</v>
      </c>
    </row>
    <row r="9" spans="5:12" x14ac:dyDescent="0.3">
      <c r="E9">
        <v>1</v>
      </c>
      <c r="F9" s="1">
        <v>25</v>
      </c>
      <c r="G9" s="1">
        <v>49</v>
      </c>
      <c r="H9" s="1">
        <v>16900</v>
      </c>
      <c r="I9" s="5">
        <v>34616</v>
      </c>
      <c r="J9" s="5">
        <v>138007</v>
      </c>
      <c r="L9" s="3">
        <v>0</v>
      </c>
    </row>
    <row r="10" spans="5:12" x14ac:dyDescent="0.3">
      <c r="E10">
        <v>2</v>
      </c>
      <c r="F10" s="1">
        <v>19</v>
      </c>
      <c r="G10" s="1">
        <v>28</v>
      </c>
      <c r="H10" s="1">
        <v>12600</v>
      </c>
      <c r="I10" s="5">
        <v>42521</v>
      </c>
      <c r="J10" s="5">
        <v>149858</v>
      </c>
      <c r="L10" s="3">
        <v>0</v>
      </c>
    </row>
    <row r="11" spans="5:12" x14ac:dyDescent="0.3">
      <c r="E11">
        <v>3</v>
      </c>
      <c r="F11" s="1">
        <v>16</v>
      </c>
      <c r="G11" s="1">
        <v>29</v>
      </c>
      <c r="H11" s="1">
        <v>12000</v>
      </c>
      <c r="I11" s="5">
        <v>36923</v>
      </c>
      <c r="J11" s="5">
        <v>143682</v>
      </c>
      <c r="L11" s="3">
        <v>0</v>
      </c>
    </row>
    <row r="12" spans="5:12" x14ac:dyDescent="0.3">
      <c r="E12">
        <v>4</v>
      </c>
      <c r="F12" s="1">
        <v>22</v>
      </c>
      <c r="G12" s="1">
        <v>33</v>
      </c>
      <c r="H12" s="1">
        <v>17900</v>
      </c>
      <c r="I12" s="5">
        <v>45121</v>
      </c>
      <c r="J12" s="5">
        <v>121967</v>
      </c>
      <c r="L12" s="3">
        <v>0</v>
      </c>
    </row>
    <row r="13" spans="5:12" x14ac:dyDescent="0.3">
      <c r="E13">
        <v>5</v>
      </c>
      <c r="F13" s="1">
        <v>22</v>
      </c>
      <c r="G13" s="1">
        <v>45</v>
      </c>
      <c r="H13" s="1">
        <v>14100</v>
      </c>
      <c r="I13" s="5">
        <v>25086</v>
      </c>
      <c r="J13" s="5">
        <v>44203</v>
      </c>
      <c r="L13" s="3">
        <v>0</v>
      </c>
    </row>
    <row r="14" spans="5:12" x14ac:dyDescent="0.3">
      <c r="E14">
        <v>6</v>
      </c>
      <c r="F14" s="1">
        <v>17</v>
      </c>
      <c r="G14" s="1">
        <v>34</v>
      </c>
      <c r="H14" s="1">
        <v>10800</v>
      </c>
      <c r="I14" s="5">
        <v>25784</v>
      </c>
      <c r="J14" s="5">
        <v>42269</v>
      </c>
      <c r="L14" s="3">
        <v>0</v>
      </c>
    </row>
    <row r="15" spans="5:12" x14ac:dyDescent="0.3">
      <c r="E15">
        <v>7</v>
      </c>
      <c r="F15" s="1">
        <v>20</v>
      </c>
      <c r="G15" s="1">
        <v>41</v>
      </c>
      <c r="H15" s="1">
        <v>13300</v>
      </c>
      <c r="I15" s="5">
        <v>32396</v>
      </c>
      <c r="J15" s="5">
        <v>43313</v>
      </c>
      <c r="L15" s="3">
        <v>0</v>
      </c>
    </row>
    <row r="16" spans="5:12" x14ac:dyDescent="0.3">
      <c r="E16">
        <v>8</v>
      </c>
      <c r="F16" s="1">
        <v>19</v>
      </c>
      <c r="G16" s="1">
        <v>38</v>
      </c>
      <c r="H16" s="1">
        <v>18200</v>
      </c>
      <c r="I16" s="5">
        <v>48903</v>
      </c>
      <c r="J16" s="5">
        <v>128410</v>
      </c>
      <c r="L16" s="3">
        <v>0</v>
      </c>
    </row>
    <row r="17" spans="5:10" x14ac:dyDescent="0.3">
      <c r="F17" s="7">
        <f>SUMPRODUCT(F9:F16,$L$9:$L$16)</f>
        <v>0</v>
      </c>
      <c r="G17" s="7">
        <f>SUMPRODUCT(G9:G16,$L$9:$L$16)</f>
        <v>0</v>
      </c>
      <c r="H17" s="7">
        <f>SUMPRODUCT(H9:H16,$L$9:$L$16)</f>
        <v>0</v>
      </c>
      <c r="I17" s="7">
        <f>SUMPRODUCT(I9:I16,$L$9:$L$16)</f>
        <v>0</v>
      </c>
      <c r="J17" s="7">
        <f>SUMPRODUCT(J9:J16,$L$9:$L$16)</f>
        <v>0</v>
      </c>
    </row>
    <row r="18" spans="5:10" x14ac:dyDescent="0.3">
      <c r="E18" t="s">
        <v>33</v>
      </c>
      <c r="F18">
        <f>F9*H4</f>
        <v>17.050350000000002</v>
      </c>
      <c r="G18">
        <f>G9*H4</f>
        <v>33.418686000000001</v>
      </c>
      <c r="H18" s="7">
        <f>H9*H4</f>
        <v>11526.036599999999</v>
      </c>
      <c r="I18" s="7">
        <f>I9</f>
        <v>34616</v>
      </c>
      <c r="J18" s="7">
        <f>J9</f>
        <v>138007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Mike Trick Example</vt:lpstr>
      <vt:lpstr>Mike Trick Example (2)</vt:lpstr>
      <vt:lpstr>Main CRS</vt:lpstr>
      <vt:lpstr>Main VRS</vt:lpstr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2021-11-15T21:14:18Z</dcterms:modified>
</cp:coreProperties>
</file>